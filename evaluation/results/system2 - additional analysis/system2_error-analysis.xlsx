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03_FB_EE\11_AEN\_intern\Arbeitsordner\Kaehler\"/>
    </mc:Choice>
  </mc:AlternateContent>
  <bookViews>
    <workbookView xWindow="240" yWindow="20" windowWidth="16100" windowHeight="9660" activeTab="2"/>
  </bookViews>
  <sheets>
    <sheet name="Ratings" sheetId="1" r:id="rId1"/>
    <sheet name="Legend" sheetId="2" r:id="rId2"/>
    <sheet name="Results" sheetId="3" r:id="rId3"/>
  </sheets>
  <definedNames>
    <definedName name="FP">Results!$C$4</definedName>
    <definedName name="FP0">Results!$D$4</definedName>
    <definedName name="TP">Results!$B$4</definedName>
  </definedNames>
  <calcPr calcId="162913"/>
</workbook>
</file>

<file path=xl/calcChain.xml><?xml version="1.0" encoding="utf-8"?>
<calcChain xmlns="http://schemas.openxmlformats.org/spreadsheetml/2006/main">
  <c r="C5" i="3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" i="1"/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" i="1"/>
  <c r="S3" i="1"/>
  <c r="T3" i="1"/>
  <c r="U3" i="1"/>
  <c r="V3" i="1"/>
  <c r="W3" i="1"/>
  <c r="S4" i="1"/>
  <c r="T4" i="1"/>
  <c r="U4" i="1"/>
  <c r="V4" i="1"/>
  <c r="W4" i="1"/>
  <c r="S5" i="1"/>
  <c r="T5" i="1"/>
  <c r="U5" i="1"/>
  <c r="V5" i="1"/>
  <c r="W5" i="1"/>
  <c r="S6" i="1"/>
  <c r="T6" i="1"/>
  <c r="U6" i="1"/>
  <c r="V6" i="1"/>
  <c r="W6" i="1"/>
  <c r="S7" i="1"/>
  <c r="T7" i="1"/>
  <c r="U7" i="1"/>
  <c r="V7" i="1"/>
  <c r="W7" i="1"/>
  <c r="S8" i="1"/>
  <c r="T8" i="1"/>
  <c r="U8" i="1"/>
  <c r="V8" i="1"/>
  <c r="W8" i="1"/>
  <c r="S9" i="1"/>
  <c r="T9" i="1"/>
  <c r="U9" i="1"/>
  <c r="V9" i="1"/>
  <c r="W9" i="1"/>
  <c r="S10" i="1"/>
  <c r="T10" i="1"/>
  <c r="U10" i="1"/>
  <c r="V10" i="1"/>
  <c r="W10" i="1"/>
  <c r="S11" i="1"/>
  <c r="T11" i="1"/>
  <c r="U11" i="1"/>
  <c r="V11" i="1"/>
  <c r="W11" i="1"/>
  <c r="S12" i="1"/>
  <c r="T12" i="1"/>
  <c r="U12" i="1"/>
  <c r="V12" i="1"/>
  <c r="W12" i="1"/>
  <c r="S13" i="1"/>
  <c r="T13" i="1"/>
  <c r="U13" i="1"/>
  <c r="V13" i="1"/>
  <c r="W13" i="1"/>
  <c r="S14" i="1"/>
  <c r="T14" i="1"/>
  <c r="U14" i="1"/>
  <c r="V14" i="1"/>
  <c r="W14" i="1"/>
  <c r="S15" i="1"/>
  <c r="T15" i="1"/>
  <c r="U15" i="1"/>
  <c r="V15" i="1"/>
  <c r="W15" i="1"/>
  <c r="S16" i="1"/>
  <c r="T16" i="1"/>
  <c r="U16" i="1"/>
  <c r="V16" i="1"/>
  <c r="W16" i="1"/>
  <c r="S17" i="1"/>
  <c r="T17" i="1"/>
  <c r="U17" i="1"/>
  <c r="V17" i="1"/>
  <c r="W17" i="1"/>
  <c r="S18" i="1"/>
  <c r="T18" i="1"/>
  <c r="U18" i="1"/>
  <c r="V18" i="1"/>
  <c r="W18" i="1"/>
  <c r="S19" i="1"/>
  <c r="T19" i="1"/>
  <c r="U19" i="1"/>
  <c r="V19" i="1"/>
  <c r="W19" i="1"/>
  <c r="S20" i="1"/>
  <c r="T20" i="1"/>
  <c r="U20" i="1"/>
  <c r="V20" i="1"/>
  <c r="W20" i="1"/>
  <c r="S21" i="1"/>
  <c r="T21" i="1"/>
  <c r="U21" i="1"/>
  <c r="V21" i="1"/>
  <c r="W21" i="1"/>
  <c r="S22" i="1"/>
  <c r="T22" i="1"/>
  <c r="U22" i="1"/>
  <c r="V22" i="1"/>
  <c r="W22" i="1"/>
  <c r="S23" i="1"/>
  <c r="T23" i="1"/>
  <c r="U23" i="1"/>
  <c r="V23" i="1"/>
  <c r="W23" i="1"/>
  <c r="S24" i="1"/>
  <c r="T24" i="1"/>
  <c r="U24" i="1"/>
  <c r="V24" i="1"/>
  <c r="W24" i="1"/>
  <c r="S25" i="1"/>
  <c r="T25" i="1"/>
  <c r="U25" i="1"/>
  <c r="V25" i="1"/>
  <c r="W25" i="1"/>
  <c r="S26" i="1"/>
  <c r="T26" i="1"/>
  <c r="U26" i="1"/>
  <c r="V26" i="1"/>
  <c r="W26" i="1"/>
  <c r="S27" i="1"/>
  <c r="T27" i="1"/>
  <c r="U27" i="1"/>
  <c r="V27" i="1"/>
  <c r="W27" i="1"/>
  <c r="S28" i="1"/>
  <c r="T28" i="1"/>
  <c r="U28" i="1"/>
  <c r="V28" i="1"/>
  <c r="W28" i="1"/>
  <c r="S29" i="1"/>
  <c r="T29" i="1"/>
  <c r="U29" i="1"/>
  <c r="V29" i="1"/>
  <c r="W29" i="1"/>
  <c r="S30" i="1"/>
  <c r="T30" i="1"/>
  <c r="U30" i="1"/>
  <c r="V30" i="1"/>
  <c r="W30" i="1"/>
  <c r="S31" i="1"/>
  <c r="T31" i="1"/>
  <c r="U31" i="1"/>
  <c r="V31" i="1"/>
  <c r="W31" i="1"/>
  <c r="S32" i="1"/>
  <c r="T32" i="1"/>
  <c r="U32" i="1"/>
  <c r="V32" i="1"/>
  <c r="W32" i="1"/>
  <c r="S33" i="1"/>
  <c r="T33" i="1"/>
  <c r="U33" i="1"/>
  <c r="V33" i="1"/>
  <c r="W33" i="1"/>
  <c r="S34" i="1"/>
  <c r="T34" i="1"/>
  <c r="U34" i="1"/>
  <c r="V34" i="1"/>
  <c r="W34" i="1"/>
  <c r="S35" i="1"/>
  <c r="T35" i="1"/>
  <c r="U35" i="1"/>
  <c r="V35" i="1"/>
  <c r="W35" i="1"/>
  <c r="S36" i="1"/>
  <c r="T36" i="1"/>
  <c r="U36" i="1"/>
  <c r="V36" i="1"/>
  <c r="W36" i="1"/>
  <c r="S37" i="1"/>
  <c r="T37" i="1"/>
  <c r="U37" i="1"/>
  <c r="V37" i="1"/>
  <c r="W37" i="1"/>
  <c r="S38" i="1"/>
  <c r="T38" i="1"/>
  <c r="U38" i="1"/>
  <c r="V38" i="1"/>
  <c r="W38" i="1"/>
  <c r="S39" i="1"/>
  <c r="T39" i="1"/>
  <c r="U39" i="1"/>
  <c r="V39" i="1"/>
  <c r="W39" i="1"/>
  <c r="S40" i="1"/>
  <c r="T40" i="1"/>
  <c r="U40" i="1"/>
  <c r="V40" i="1"/>
  <c r="W40" i="1"/>
  <c r="S41" i="1"/>
  <c r="T41" i="1"/>
  <c r="U41" i="1"/>
  <c r="V41" i="1"/>
  <c r="W41" i="1"/>
  <c r="S42" i="1"/>
  <c r="T42" i="1"/>
  <c r="U42" i="1"/>
  <c r="V42" i="1"/>
  <c r="W42" i="1"/>
  <c r="S43" i="1"/>
  <c r="T43" i="1"/>
  <c r="U43" i="1"/>
  <c r="V43" i="1"/>
  <c r="W43" i="1"/>
  <c r="S44" i="1"/>
  <c r="T44" i="1"/>
  <c r="U44" i="1"/>
  <c r="V44" i="1"/>
  <c r="W44" i="1"/>
  <c r="S45" i="1"/>
  <c r="T45" i="1"/>
  <c r="U45" i="1"/>
  <c r="V45" i="1"/>
  <c r="W45" i="1"/>
  <c r="S46" i="1"/>
  <c r="T46" i="1"/>
  <c r="U46" i="1"/>
  <c r="V46" i="1"/>
  <c r="W46" i="1"/>
  <c r="S47" i="1"/>
  <c r="T47" i="1"/>
  <c r="U47" i="1"/>
  <c r="V47" i="1"/>
  <c r="W47" i="1"/>
  <c r="S48" i="1"/>
  <c r="T48" i="1"/>
  <c r="U48" i="1"/>
  <c r="V48" i="1"/>
  <c r="W48" i="1"/>
  <c r="S49" i="1"/>
  <c r="T49" i="1"/>
  <c r="U49" i="1"/>
  <c r="V49" i="1"/>
  <c r="W49" i="1"/>
  <c r="S50" i="1"/>
  <c r="T50" i="1"/>
  <c r="U50" i="1"/>
  <c r="V50" i="1"/>
  <c r="W50" i="1"/>
  <c r="S51" i="1"/>
  <c r="T51" i="1"/>
  <c r="U51" i="1"/>
  <c r="V51" i="1"/>
  <c r="W51" i="1"/>
  <c r="S52" i="1"/>
  <c r="T52" i="1"/>
  <c r="U52" i="1"/>
  <c r="V52" i="1"/>
  <c r="W52" i="1"/>
  <c r="S53" i="1"/>
  <c r="T53" i="1"/>
  <c r="U53" i="1"/>
  <c r="V53" i="1"/>
  <c r="W53" i="1"/>
  <c r="S54" i="1"/>
  <c r="T54" i="1"/>
  <c r="U54" i="1"/>
  <c r="V54" i="1"/>
  <c r="W54" i="1"/>
  <c r="S55" i="1"/>
  <c r="T55" i="1"/>
  <c r="U55" i="1"/>
  <c r="V55" i="1"/>
  <c r="W55" i="1"/>
  <c r="S56" i="1"/>
  <c r="T56" i="1"/>
  <c r="U56" i="1"/>
  <c r="V56" i="1"/>
  <c r="W56" i="1"/>
  <c r="S57" i="1"/>
  <c r="T57" i="1"/>
  <c r="U57" i="1"/>
  <c r="V57" i="1"/>
  <c r="W57" i="1"/>
  <c r="S58" i="1"/>
  <c r="T58" i="1"/>
  <c r="U58" i="1"/>
  <c r="V58" i="1"/>
  <c r="W58" i="1"/>
  <c r="S59" i="1"/>
  <c r="T59" i="1"/>
  <c r="U59" i="1"/>
  <c r="V59" i="1"/>
  <c r="W59" i="1"/>
  <c r="S60" i="1"/>
  <c r="T60" i="1"/>
  <c r="U60" i="1"/>
  <c r="V60" i="1"/>
  <c r="W60" i="1"/>
  <c r="S61" i="1"/>
  <c r="T61" i="1"/>
  <c r="U61" i="1"/>
  <c r="V61" i="1"/>
  <c r="W61" i="1"/>
  <c r="S62" i="1"/>
  <c r="T62" i="1"/>
  <c r="U62" i="1"/>
  <c r="V62" i="1"/>
  <c r="W62" i="1"/>
  <c r="S63" i="1"/>
  <c r="T63" i="1"/>
  <c r="U63" i="1"/>
  <c r="V63" i="1"/>
  <c r="W63" i="1"/>
  <c r="S64" i="1"/>
  <c r="T64" i="1"/>
  <c r="U64" i="1"/>
  <c r="V64" i="1"/>
  <c r="W64" i="1"/>
  <c r="S65" i="1"/>
  <c r="T65" i="1"/>
  <c r="U65" i="1"/>
  <c r="V65" i="1"/>
  <c r="W65" i="1"/>
  <c r="S66" i="1"/>
  <c r="T66" i="1"/>
  <c r="U66" i="1"/>
  <c r="V66" i="1"/>
  <c r="W66" i="1"/>
  <c r="S67" i="1"/>
  <c r="T67" i="1"/>
  <c r="U67" i="1"/>
  <c r="V67" i="1"/>
  <c r="W67" i="1"/>
  <c r="S68" i="1"/>
  <c r="T68" i="1"/>
  <c r="U68" i="1"/>
  <c r="V68" i="1"/>
  <c r="W68" i="1"/>
  <c r="S69" i="1"/>
  <c r="T69" i="1"/>
  <c r="U69" i="1"/>
  <c r="V69" i="1"/>
  <c r="W69" i="1"/>
  <c r="S70" i="1"/>
  <c r="T70" i="1"/>
  <c r="U70" i="1"/>
  <c r="V70" i="1"/>
  <c r="W70" i="1"/>
  <c r="S71" i="1"/>
  <c r="T71" i="1"/>
  <c r="U71" i="1"/>
  <c r="V71" i="1"/>
  <c r="W71" i="1"/>
  <c r="S72" i="1"/>
  <c r="T72" i="1"/>
  <c r="U72" i="1"/>
  <c r="V72" i="1"/>
  <c r="W72" i="1"/>
  <c r="S73" i="1"/>
  <c r="T73" i="1"/>
  <c r="U73" i="1"/>
  <c r="V73" i="1"/>
  <c r="W73" i="1"/>
  <c r="S74" i="1"/>
  <c r="T74" i="1"/>
  <c r="U74" i="1"/>
  <c r="V74" i="1"/>
  <c r="W74" i="1"/>
  <c r="S75" i="1"/>
  <c r="T75" i="1"/>
  <c r="U75" i="1"/>
  <c r="V75" i="1"/>
  <c r="W75" i="1"/>
  <c r="S76" i="1"/>
  <c r="T76" i="1"/>
  <c r="U76" i="1"/>
  <c r="V76" i="1"/>
  <c r="W76" i="1"/>
  <c r="S77" i="1"/>
  <c r="T77" i="1"/>
  <c r="U77" i="1"/>
  <c r="V77" i="1"/>
  <c r="W77" i="1"/>
  <c r="S78" i="1"/>
  <c r="T78" i="1"/>
  <c r="U78" i="1"/>
  <c r="V78" i="1"/>
  <c r="W78" i="1"/>
  <c r="S79" i="1"/>
  <c r="T79" i="1"/>
  <c r="U79" i="1"/>
  <c r="V79" i="1"/>
  <c r="W79" i="1"/>
  <c r="S80" i="1"/>
  <c r="T80" i="1"/>
  <c r="U80" i="1"/>
  <c r="V80" i="1"/>
  <c r="W80" i="1"/>
  <c r="S81" i="1"/>
  <c r="T81" i="1"/>
  <c r="U81" i="1"/>
  <c r="V81" i="1"/>
  <c r="W81" i="1"/>
  <c r="S82" i="1"/>
  <c r="T82" i="1"/>
  <c r="U82" i="1"/>
  <c r="V82" i="1"/>
  <c r="W82" i="1"/>
  <c r="S83" i="1"/>
  <c r="T83" i="1"/>
  <c r="U83" i="1"/>
  <c r="V83" i="1"/>
  <c r="W83" i="1"/>
  <c r="S84" i="1"/>
  <c r="T84" i="1"/>
  <c r="U84" i="1"/>
  <c r="V84" i="1"/>
  <c r="W84" i="1"/>
  <c r="S85" i="1"/>
  <c r="T85" i="1"/>
  <c r="U85" i="1"/>
  <c r="V85" i="1"/>
  <c r="W85" i="1"/>
  <c r="S86" i="1"/>
  <c r="T86" i="1"/>
  <c r="U86" i="1"/>
  <c r="V86" i="1"/>
  <c r="W86" i="1"/>
  <c r="S87" i="1"/>
  <c r="T87" i="1"/>
  <c r="U87" i="1"/>
  <c r="V87" i="1"/>
  <c r="W87" i="1"/>
  <c r="S88" i="1"/>
  <c r="T88" i="1"/>
  <c r="U88" i="1"/>
  <c r="V88" i="1"/>
  <c r="W88" i="1"/>
  <c r="S89" i="1"/>
  <c r="T89" i="1"/>
  <c r="U89" i="1"/>
  <c r="V89" i="1"/>
  <c r="W89" i="1"/>
  <c r="S90" i="1"/>
  <c r="T90" i="1"/>
  <c r="U90" i="1"/>
  <c r="V90" i="1"/>
  <c r="W90" i="1"/>
  <c r="S91" i="1"/>
  <c r="T91" i="1"/>
  <c r="U91" i="1"/>
  <c r="V91" i="1"/>
  <c r="W91" i="1"/>
  <c r="S92" i="1"/>
  <c r="T92" i="1"/>
  <c r="U92" i="1"/>
  <c r="V92" i="1"/>
  <c r="W92" i="1"/>
  <c r="S93" i="1"/>
  <c r="T93" i="1"/>
  <c r="U93" i="1"/>
  <c r="V93" i="1"/>
  <c r="W93" i="1"/>
  <c r="S94" i="1"/>
  <c r="T94" i="1"/>
  <c r="U94" i="1"/>
  <c r="V94" i="1"/>
  <c r="W94" i="1"/>
  <c r="S95" i="1"/>
  <c r="T95" i="1"/>
  <c r="U95" i="1"/>
  <c r="V95" i="1"/>
  <c r="W95" i="1"/>
  <c r="S96" i="1"/>
  <c r="T96" i="1"/>
  <c r="U96" i="1"/>
  <c r="V96" i="1"/>
  <c r="W96" i="1"/>
  <c r="S97" i="1"/>
  <c r="T97" i="1"/>
  <c r="U97" i="1"/>
  <c r="V97" i="1"/>
  <c r="W97" i="1"/>
  <c r="S98" i="1"/>
  <c r="T98" i="1"/>
  <c r="U98" i="1"/>
  <c r="V98" i="1"/>
  <c r="W98" i="1"/>
  <c r="S99" i="1"/>
  <c r="T99" i="1"/>
  <c r="U99" i="1"/>
  <c r="V99" i="1"/>
  <c r="W99" i="1"/>
  <c r="S100" i="1"/>
  <c r="T100" i="1"/>
  <c r="U100" i="1"/>
  <c r="V100" i="1"/>
  <c r="W100" i="1"/>
  <c r="S101" i="1"/>
  <c r="T101" i="1"/>
  <c r="U101" i="1"/>
  <c r="V101" i="1"/>
  <c r="W101" i="1"/>
  <c r="S102" i="1"/>
  <c r="T102" i="1"/>
  <c r="U102" i="1"/>
  <c r="V102" i="1"/>
  <c r="W102" i="1"/>
  <c r="S103" i="1"/>
  <c r="T103" i="1"/>
  <c r="U103" i="1"/>
  <c r="V103" i="1"/>
  <c r="W103" i="1"/>
  <c r="S104" i="1"/>
  <c r="T104" i="1"/>
  <c r="U104" i="1"/>
  <c r="V104" i="1"/>
  <c r="W104" i="1"/>
  <c r="S105" i="1"/>
  <c r="T105" i="1"/>
  <c r="U105" i="1"/>
  <c r="V105" i="1"/>
  <c r="W105" i="1"/>
  <c r="S106" i="1"/>
  <c r="T106" i="1"/>
  <c r="U106" i="1"/>
  <c r="V106" i="1"/>
  <c r="W106" i="1"/>
  <c r="S107" i="1"/>
  <c r="T107" i="1"/>
  <c r="U107" i="1"/>
  <c r="V107" i="1"/>
  <c r="W107" i="1"/>
  <c r="S108" i="1"/>
  <c r="T108" i="1"/>
  <c r="U108" i="1"/>
  <c r="V108" i="1"/>
  <c r="W108" i="1"/>
  <c r="S109" i="1"/>
  <c r="T109" i="1"/>
  <c r="U109" i="1"/>
  <c r="V109" i="1"/>
  <c r="W109" i="1"/>
  <c r="S110" i="1"/>
  <c r="T110" i="1"/>
  <c r="U110" i="1"/>
  <c r="V110" i="1"/>
  <c r="W110" i="1"/>
  <c r="S111" i="1"/>
  <c r="T111" i="1"/>
  <c r="U111" i="1"/>
  <c r="V111" i="1"/>
  <c r="W111" i="1"/>
  <c r="S112" i="1"/>
  <c r="T112" i="1"/>
  <c r="U112" i="1"/>
  <c r="V112" i="1"/>
  <c r="W112" i="1"/>
  <c r="S113" i="1"/>
  <c r="T113" i="1"/>
  <c r="U113" i="1"/>
  <c r="V113" i="1"/>
  <c r="W113" i="1"/>
  <c r="S114" i="1"/>
  <c r="T114" i="1"/>
  <c r="U114" i="1"/>
  <c r="V114" i="1"/>
  <c r="W114" i="1"/>
  <c r="S115" i="1"/>
  <c r="T115" i="1"/>
  <c r="U115" i="1"/>
  <c r="V115" i="1"/>
  <c r="W115" i="1"/>
  <c r="S116" i="1"/>
  <c r="T116" i="1"/>
  <c r="U116" i="1"/>
  <c r="V116" i="1"/>
  <c r="W116" i="1"/>
  <c r="S117" i="1"/>
  <c r="T117" i="1"/>
  <c r="U117" i="1"/>
  <c r="V117" i="1"/>
  <c r="W117" i="1"/>
  <c r="S118" i="1"/>
  <c r="T118" i="1"/>
  <c r="U118" i="1"/>
  <c r="V118" i="1"/>
  <c r="W118" i="1"/>
  <c r="S119" i="1"/>
  <c r="T119" i="1"/>
  <c r="U119" i="1"/>
  <c r="V119" i="1"/>
  <c r="W119" i="1"/>
  <c r="S120" i="1"/>
  <c r="T120" i="1"/>
  <c r="U120" i="1"/>
  <c r="V120" i="1"/>
  <c r="W120" i="1"/>
  <c r="S121" i="1"/>
  <c r="T121" i="1"/>
  <c r="U121" i="1"/>
  <c r="V121" i="1"/>
  <c r="W121" i="1"/>
  <c r="S122" i="1"/>
  <c r="T122" i="1"/>
  <c r="U122" i="1"/>
  <c r="V122" i="1"/>
  <c r="W122" i="1"/>
  <c r="S123" i="1"/>
  <c r="T123" i="1"/>
  <c r="U123" i="1"/>
  <c r="V123" i="1"/>
  <c r="W123" i="1"/>
  <c r="S124" i="1"/>
  <c r="T124" i="1"/>
  <c r="U124" i="1"/>
  <c r="V124" i="1"/>
  <c r="W124" i="1"/>
  <c r="S125" i="1"/>
  <c r="T125" i="1"/>
  <c r="U125" i="1"/>
  <c r="V125" i="1"/>
  <c r="W125" i="1"/>
  <c r="S126" i="1"/>
  <c r="T126" i="1"/>
  <c r="U126" i="1"/>
  <c r="V126" i="1"/>
  <c r="W126" i="1"/>
  <c r="S127" i="1"/>
  <c r="T127" i="1"/>
  <c r="U127" i="1"/>
  <c r="V127" i="1"/>
  <c r="W127" i="1"/>
  <c r="S128" i="1"/>
  <c r="T128" i="1"/>
  <c r="U128" i="1"/>
  <c r="V128" i="1"/>
  <c r="W128" i="1"/>
  <c r="S129" i="1"/>
  <c r="T129" i="1"/>
  <c r="U129" i="1"/>
  <c r="V129" i="1"/>
  <c r="W129" i="1"/>
  <c r="S130" i="1"/>
  <c r="T130" i="1"/>
  <c r="U130" i="1"/>
  <c r="V130" i="1"/>
  <c r="W130" i="1"/>
  <c r="S131" i="1"/>
  <c r="T131" i="1"/>
  <c r="U131" i="1"/>
  <c r="V131" i="1"/>
  <c r="W131" i="1"/>
  <c r="S132" i="1"/>
  <c r="T132" i="1"/>
  <c r="U132" i="1"/>
  <c r="V132" i="1"/>
  <c r="W132" i="1"/>
  <c r="S133" i="1"/>
  <c r="T133" i="1"/>
  <c r="U133" i="1"/>
  <c r="V133" i="1"/>
  <c r="W133" i="1"/>
  <c r="S134" i="1"/>
  <c r="T134" i="1"/>
  <c r="U134" i="1"/>
  <c r="V134" i="1"/>
  <c r="W134" i="1"/>
  <c r="S135" i="1"/>
  <c r="T135" i="1"/>
  <c r="U135" i="1"/>
  <c r="V135" i="1"/>
  <c r="W135" i="1"/>
  <c r="S136" i="1"/>
  <c r="T136" i="1"/>
  <c r="U136" i="1"/>
  <c r="V136" i="1"/>
  <c r="W136" i="1"/>
  <c r="S137" i="1"/>
  <c r="T137" i="1"/>
  <c r="U137" i="1"/>
  <c r="V137" i="1"/>
  <c r="W137" i="1"/>
  <c r="S138" i="1"/>
  <c r="T138" i="1"/>
  <c r="U138" i="1"/>
  <c r="V138" i="1"/>
  <c r="W138" i="1"/>
  <c r="S139" i="1"/>
  <c r="T139" i="1"/>
  <c r="U139" i="1"/>
  <c r="V139" i="1"/>
  <c r="W139" i="1"/>
  <c r="S140" i="1"/>
  <c r="T140" i="1"/>
  <c r="U140" i="1"/>
  <c r="V140" i="1"/>
  <c r="W140" i="1"/>
  <c r="S141" i="1"/>
  <c r="T141" i="1"/>
  <c r="U141" i="1"/>
  <c r="V141" i="1"/>
  <c r="W141" i="1"/>
  <c r="S142" i="1"/>
  <c r="T142" i="1"/>
  <c r="U142" i="1"/>
  <c r="V142" i="1"/>
  <c r="W142" i="1"/>
  <c r="S143" i="1"/>
  <c r="T143" i="1"/>
  <c r="U143" i="1"/>
  <c r="V143" i="1"/>
  <c r="W143" i="1"/>
  <c r="S144" i="1"/>
  <c r="T144" i="1"/>
  <c r="U144" i="1"/>
  <c r="V144" i="1"/>
  <c r="W144" i="1"/>
  <c r="S145" i="1"/>
  <c r="T145" i="1"/>
  <c r="U145" i="1"/>
  <c r="V145" i="1"/>
  <c r="W145" i="1"/>
  <c r="S146" i="1"/>
  <c r="T146" i="1"/>
  <c r="U146" i="1"/>
  <c r="V146" i="1"/>
  <c r="W146" i="1"/>
  <c r="S147" i="1"/>
  <c r="T147" i="1"/>
  <c r="U147" i="1"/>
  <c r="V147" i="1"/>
  <c r="W147" i="1"/>
  <c r="S148" i="1"/>
  <c r="T148" i="1"/>
  <c r="U148" i="1"/>
  <c r="V148" i="1"/>
  <c r="W148" i="1"/>
  <c r="S149" i="1"/>
  <c r="T149" i="1"/>
  <c r="U149" i="1"/>
  <c r="V149" i="1"/>
  <c r="W149" i="1"/>
  <c r="S150" i="1"/>
  <c r="T150" i="1"/>
  <c r="U150" i="1"/>
  <c r="V150" i="1"/>
  <c r="W150" i="1"/>
  <c r="S151" i="1"/>
  <c r="T151" i="1"/>
  <c r="U151" i="1"/>
  <c r="V151" i="1"/>
  <c r="W151" i="1"/>
  <c r="S152" i="1"/>
  <c r="T152" i="1"/>
  <c r="U152" i="1"/>
  <c r="V152" i="1"/>
  <c r="W152" i="1"/>
  <c r="S153" i="1"/>
  <c r="T153" i="1"/>
  <c r="U153" i="1"/>
  <c r="V153" i="1"/>
  <c r="W153" i="1"/>
  <c r="S154" i="1"/>
  <c r="T154" i="1"/>
  <c r="U154" i="1"/>
  <c r="V154" i="1"/>
  <c r="W154" i="1"/>
  <c r="S155" i="1"/>
  <c r="T155" i="1"/>
  <c r="U155" i="1"/>
  <c r="V155" i="1"/>
  <c r="W155" i="1"/>
  <c r="S156" i="1"/>
  <c r="T156" i="1"/>
  <c r="U156" i="1"/>
  <c r="V156" i="1"/>
  <c r="W156" i="1"/>
  <c r="S157" i="1"/>
  <c r="T157" i="1"/>
  <c r="U157" i="1"/>
  <c r="V157" i="1"/>
  <c r="W157" i="1"/>
  <c r="S158" i="1"/>
  <c r="T158" i="1"/>
  <c r="U158" i="1"/>
  <c r="V158" i="1"/>
  <c r="W158" i="1"/>
  <c r="S159" i="1"/>
  <c r="T159" i="1"/>
  <c r="U159" i="1"/>
  <c r="V159" i="1"/>
  <c r="W159" i="1"/>
  <c r="S160" i="1"/>
  <c r="T160" i="1"/>
  <c r="U160" i="1"/>
  <c r="V160" i="1"/>
  <c r="W160" i="1"/>
  <c r="S161" i="1"/>
  <c r="T161" i="1"/>
  <c r="U161" i="1"/>
  <c r="V161" i="1"/>
  <c r="W161" i="1"/>
  <c r="S162" i="1"/>
  <c r="T162" i="1"/>
  <c r="U162" i="1"/>
  <c r="V162" i="1"/>
  <c r="W162" i="1"/>
  <c r="S163" i="1"/>
  <c r="T163" i="1"/>
  <c r="U163" i="1"/>
  <c r="V163" i="1"/>
  <c r="W163" i="1"/>
  <c r="S164" i="1"/>
  <c r="T164" i="1"/>
  <c r="U164" i="1"/>
  <c r="V164" i="1"/>
  <c r="W164" i="1"/>
  <c r="S165" i="1"/>
  <c r="T165" i="1"/>
  <c r="U165" i="1"/>
  <c r="V165" i="1"/>
  <c r="W165" i="1"/>
  <c r="S166" i="1"/>
  <c r="T166" i="1"/>
  <c r="U166" i="1"/>
  <c r="V166" i="1"/>
  <c r="W166" i="1"/>
  <c r="S167" i="1"/>
  <c r="T167" i="1"/>
  <c r="U167" i="1"/>
  <c r="V167" i="1"/>
  <c r="W167" i="1"/>
  <c r="S168" i="1"/>
  <c r="T168" i="1"/>
  <c r="U168" i="1"/>
  <c r="V168" i="1"/>
  <c r="W168" i="1"/>
  <c r="S169" i="1"/>
  <c r="T169" i="1"/>
  <c r="U169" i="1"/>
  <c r="V169" i="1"/>
  <c r="W169" i="1"/>
  <c r="S170" i="1"/>
  <c r="T170" i="1"/>
  <c r="U170" i="1"/>
  <c r="V170" i="1"/>
  <c r="W170" i="1"/>
  <c r="S171" i="1"/>
  <c r="T171" i="1"/>
  <c r="U171" i="1"/>
  <c r="V171" i="1"/>
  <c r="W171" i="1"/>
  <c r="S172" i="1"/>
  <c r="T172" i="1"/>
  <c r="U172" i="1"/>
  <c r="V172" i="1"/>
  <c r="W172" i="1"/>
  <c r="S173" i="1"/>
  <c r="T173" i="1"/>
  <c r="U173" i="1"/>
  <c r="V173" i="1"/>
  <c r="W173" i="1"/>
  <c r="S174" i="1"/>
  <c r="T174" i="1"/>
  <c r="U174" i="1"/>
  <c r="V174" i="1"/>
  <c r="W174" i="1"/>
  <c r="S175" i="1"/>
  <c r="T175" i="1"/>
  <c r="U175" i="1"/>
  <c r="V175" i="1"/>
  <c r="W175" i="1"/>
  <c r="S176" i="1"/>
  <c r="T176" i="1"/>
  <c r="U176" i="1"/>
  <c r="V176" i="1"/>
  <c r="W176" i="1"/>
  <c r="S177" i="1"/>
  <c r="T177" i="1"/>
  <c r="U177" i="1"/>
  <c r="V177" i="1"/>
  <c r="W177" i="1"/>
  <c r="S178" i="1"/>
  <c r="T178" i="1"/>
  <c r="U178" i="1"/>
  <c r="V178" i="1"/>
  <c r="W178" i="1"/>
  <c r="S179" i="1"/>
  <c r="T179" i="1"/>
  <c r="U179" i="1"/>
  <c r="V179" i="1"/>
  <c r="W179" i="1"/>
  <c r="S180" i="1"/>
  <c r="T180" i="1"/>
  <c r="U180" i="1"/>
  <c r="V180" i="1"/>
  <c r="W180" i="1"/>
  <c r="S181" i="1"/>
  <c r="T181" i="1"/>
  <c r="U181" i="1"/>
  <c r="V181" i="1"/>
  <c r="W181" i="1"/>
  <c r="S182" i="1"/>
  <c r="T182" i="1"/>
  <c r="U182" i="1"/>
  <c r="V182" i="1"/>
  <c r="W182" i="1"/>
  <c r="S183" i="1"/>
  <c r="T183" i="1"/>
  <c r="U183" i="1"/>
  <c r="V183" i="1"/>
  <c r="W183" i="1"/>
  <c r="S184" i="1"/>
  <c r="T184" i="1"/>
  <c r="U184" i="1"/>
  <c r="V184" i="1"/>
  <c r="W184" i="1"/>
  <c r="S185" i="1"/>
  <c r="T185" i="1"/>
  <c r="U185" i="1"/>
  <c r="V185" i="1"/>
  <c r="W185" i="1"/>
  <c r="S186" i="1"/>
  <c r="T186" i="1"/>
  <c r="U186" i="1"/>
  <c r="V186" i="1"/>
  <c r="W186" i="1"/>
  <c r="S187" i="1"/>
  <c r="T187" i="1"/>
  <c r="U187" i="1"/>
  <c r="V187" i="1"/>
  <c r="W187" i="1"/>
  <c r="S188" i="1"/>
  <c r="T188" i="1"/>
  <c r="U188" i="1"/>
  <c r="V188" i="1"/>
  <c r="W188" i="1"/>
  <c r="S189" i="1"/>
  <c r="T189" i="1"/>
  <c r="U189" i="1"/>
  <c r="V189" i="1"/>
  <c r="W189" i="1"/>
  <c r="S190" i="1"/>
  <c r="T190" i="1"/>
  <c r="U190" i="1"/>
  <c r="V190" i="1"/>
  <c r="W190" i="1"/>
  <c r="S191" i="1"/>
  <c r="T191" i="1"/>
  <c r="U191" i="1"/>
  <c r="V191" i="1"/>
  <c r="W191" i="1"/>
  <c r="S192" i="1"/>
  <c r="T192" i="1"/>
  <c r="U192" i="1"/>
  <c r="V192" i="1"/>
  <c r="W192" i="1"/>
  <c r="S193" i="1"/>
  <c r="T193" i="1"/>
  <c r="U193" i="1"/>
  <c r="V193" i="1"/>
  <c r="W193" i="1"/>
  <c r="S194" i="1"/>
  <c r="T194" i="1"/>
  <c r="U194" i="1"/>
  <c r="V194" i="1"/>
  <c r="W194" i="1"/>
  <c r="S195" i="1"/>
  <c r="T195" i="1"/>
  <c r="U195" i="1"/>
  <c r="V195" i="1"/>
  <c r="W195" i="1"/>
  <c r="S196" i="1"/>
  <c r="T196" i="1"/>
  <c r="U196" i="1"/>
  <c r="V196" i="1"/>
  <c r="W196" i="1"/>
  <c r="S197" i="1"/>
  <c r="T197" i="1"/>
  <c r="U197" i="1"/>
  <c r="V197" i="1"/>
  <c r="W197" i="1"/>
  <c r="S198" i="1"/>
  <c r="T198" i="1"/>
  <c r="U198" i="1"/>
  <c r="V198" i="1"/>
  <c r="W198" i="1"/>
  <c r="S199" i="1"/>
  <c r="T199" i="1"/>
  <c r="U199" i="1"/>
  <c r="V199" i="1"/>
  <c r="W199" i="1"/>
  <c r="S200" i="1"/>
  <c r="T200" i="1"/>
  <c r="U200" i="1"/>
  <c r="V200" i="1"/>
  <c r="W200" i="1"/>
  <c r="S201" i="1"/>
  <c r="T201" i="1"/>
  <c r="U201" i="1"/>
  <c r="V201" i="1"/>
  <c r="W201" i="1"/>
  <c r="S202" i="1"/>
  <c r="T202" i="1"/>
  <c r="U202" i="1"/>
  <c r="V202" i="1"/>
  <c r="W202" i="1"/>
  <c r="S203" i="1"/>
  <c r="T203" i="1"/>
  <c r="U203" i="1"/>
  <c r="V203" i="1"/>
  <c r="W203" i="1"/>
  <c r="S204" i="1"/>
  <c r="T204" i="1"/>
  <c r="U204" i="1"/>
  <c r="V204" i="1"/>
  <c r="W204" i="1"/>
  <c r="S205" i="1"/>
  <c r="T205" i="1"/>
  <c r="U205" i="1"/>
  <c r="V205" i="1"/>
  <c r="W205" i="1"/>
  <c r="S206" i="1"/>
  <c r="T206" i="1"/>
  <c r="U206" i="1"/>
  <c r="V206" i="1"/>
  <c r="W206" i="1"/>
  <c r="S207" i="1"/>
  <c r="T207" i="1"/>
  <c r="U207" i="1"/>
  <c r="V207" i="1"/>
  <c r="W207" i="1"/>
  <c r="S208" i="1"/>
  <c r="T208" i="1"/>
  <c r="U208" i="1"/>
  <c r="V208" i="1"/>
  <c r="W208" i="1"/>
  <c r="S209" i="1"/>
  <c r="T209" i="1"/>
  <c r="U209" i="1"/>
  <c r="V209" i="1"/>
  <c r="W209" i="1"/>
  <c r="S210" i="1"/>
  <c r="T210" i="1"/>
  <c r="U210" i="1"/>
  <c r="V210" i="1"/>
  <c r="W210" i="1"/>
  <c r="S211" i="1"/>
  <c r="T211" i="1"/>
  <c r="U211" i="1"/>
  <c r="V211" i="1"/>
  <c r="W211" i="1"/>
  <c r="S212" i="1"/>
  <c r="T212" i="1"/>
  <c r="U212" i="1"/>
  <c r="V212" i="1"/>
  <c r="W212" i="1"/>
  <c r="S213" i="1"/>
  <c r="T213" i="1"/>
  <c r="U213" i="1"/>
  <c r="V213" i="1"/>
  <c r="W213" i="1"/>
  <c r="S214" i="1"/>
  <c r="T214" i="1"/>
  <c r="U214" i="1"/>
  <c r="V214" i="1"/>
  <c r="W214" i="1"/>
  <c r="S215" i="1"/>
  <c r="T215" i="1"/>
  <c r="U215" i="1"/>
  <c r="V215" i="1"/>
  <c r="W215" i="1"/>
  <c r="S216" i="1"/>
  <c r="T216" i="1"/>
  <c r="U216" i="1"/>
  <c r="V216" i="1"/>
  <c r="W216" i="1"/>
  <c r="S217" i="1"/>
  <c r="T217" i="1"/>
  <c r="U217" i="1"/>
  <c r="V217" i="1"/>
  <c r="W217" i="1"/>
  <c r="S218" i="1"/>
  <c r="T218" i="1"/>
  <c r="U218" i="1"/>
  <c r="V218" i="1"/>
  <c r="W218" i="1"/>
  <c r="S219" i="1"/>
  <c r="T219" i="1"/>
  <c r="U219" i="1"/>
  <c r="V219" i="1"/>
  <c r="W219" i="1"/>
  <c r="S220" i="1"/>
  <c r="T220" i="1"/>
  <c r="U220" i="1"/>
  <c r="V220" i="1"/>
  <c r="W220" i="1"/>
  <c r="S221" i="1"/>
  <c r="T221" i="1"/>
  <c r="U221" i="1"/>
  <c r="V221" i="1"/>
  <c r="W221" i="1"/>
  <c r="S222" i="1"/>
  <c r="T222" i="1"/>
  <c r="U222" i="1"/>
  <c r="V222" i="1"/>
  <c r="W222" i="1"/>
  <c r="S223" i="1"/>
  <c r="T223" i="1"/>
  <c r="U223" i="1"/>
  <c r="V223" i="1"/>
  <c r="W223" i="1"/>
  <c r="S224" i="1"/>
  <c r="T224" i="1"/>
  <c r="U224" i="1"/>
  <c r="V224" i="1"/>
  <c r="W224" i="1"/>
  <c r="S225" i="1"/>
  <c r="T225" i="1"/>
  <c r="U225" i="1"/>
  <c r="V225" i="1"/>
  <c r="W225" i="1"/>
  <c r="S226" i="1"/>
  <c r="T226" i="1"/>
  <c r="U226" i="1"/>
  <c r="V226" i="1"/>
  <c r="W226" i="1"/>
  <c r="S227" i="1"/>
  <c r="T227" i="1"/>
  <c r="U227" i="1"/>
  <c r="V227" i="1"/>
  <c r="W227" i="1"/>
  <c r="S228" i="1"/>
  <c r="T228" i="1"/>
  <c r="U228" i="1"/>
  <c r="V228" i="1"/>
  <c r="W228" i="1"/>
  <c r="S229" i="1"/>
  <c r="T229" i="1"/>
  <c r="U229" i="1"/>
  <c r="V229" i="1"/>
  <c r="W229" i="1"/>
  <c r="S230" i="1"/>
  <c r="T230" i="1"/>
  <c r="U230" i="1"/>
  <c r="V230" i="1"/>
  <c r="W230" i="1"/>
  <c r="S231" i="1"/>
  <c r="T231" i="1"/>
  <c r="U231" i="1"/>
  <c r="V231" i="1"/>
  <c r="W231" i="1"/>
  <c r="S232" i="1"/>
  <c r="T232" i="1"/>
  <c r="U232" i="1"/>
  <c r="V232" i="1"/>
  <c r="W232" i="1"/>
  <c r="S233" i="1"/>
  <c r="T233" i="1"/>
  <c r="U233" i="1"/>
  <c r="V233" i="1"/>
  <c r="W233" i="1"/>
  <c r="S234" i="1"/>
  <c r="T234" i="1"/>
  <c r="U234" i="1"/>
  <c r="V234" i="1"/>
  <c r="W234" i="1"/>
  <c r="S235" i="1"/>
  <c r="T235" i="1"/>
  <c r="U235" i="1"/>
  <c r="V235" i="1"/>
  <c r="W235" i="1"/>
  <c r="S236" i="1"/>
  <c r="T236" i="1"/>
  <c r="U236" i="1"/>
  <c r="V236" i="1"/>
  <c r="W236" i="1"/>
  <c r="S237" i="1"/>
  <c r="T237" i="1"/>
  <c r="U237" i="1"/>
  <c r="V237" i="1"/>
  <c r="W237" i="1"/>
  <c r="S238" i="1"/>
  <c r="T238" i="1"/>
  <c r="U238" i="1"/>
  <c r="V238" i="1"/>
  <c r="W238" i="1"/>
  <c r="S239" i="1"/>
  <c r="T239" i="1"/>
  <c r="U239" i="1"/>
  <c r="V239" i="1"/>
  <c r="W239" i="1"/>
  <c r="S240" i="1"/>
  <c r="T240" i="1"/>
  <c r="U240" i="1"/>
  <c r="V240" i="1"/>
  <c r="W240" i="1"/>
  <c r="S241" i="1"/>
  <c r="T241" i="1"/>
  <c r="U241" i="1"/>
  <c r="V241" i="1"/>
  <c r="W241" i="1"/>
  <c r="S242" i="1"/>
  <c r="T242" i="1"/>
  <c r="U242" i="1"/>
  <c r="V242" i="1"/>
  <c r="W242" i="1"/>
  <c r="S243" i="1"/>
  <c r="T243" i="1"/>
  <c r="U243" i="1"/>
  <c r="V243" i="1"/>
  <c r="W243" i="1"/>
  <c r="S244" i="1"/>
  <c r="T244" i="1"/>
  <c r="U244" i="1"/>
  <c r="V244" i="1"/>
  <c r="W244" i="1"/>
  <c r="S245" i="1"/>
  <c r="T245" i="1"/>
  <c r="U245" i="1"/>
  <c r="V245" i="1"/>
  <c r="W245" i="1"/>
  <c r="S246" i="1"/>
  <c r="T246" i="1"/>
  <c r="U246" i="1"/>
  <c r="V246" i="1"/>
  <c r="W246" i="1"/>
  <c r="S247" i="1"/>
  <c r="T247" i="1"/>
  <c r="U247" i="1"/>
  <c r="V247" i="1"/>
  <c r="W247" i="1"/>
  <c r="S248" i="1"/>
  <c r="T248" i="1"/>
  <c r="U248" i="1"/>
  <c r="V248" i="1"/>
  <c r="W248" i="1"/>
  <c r="S249" i="1"/>
  <c r="T249" i="1"/>
  <c r="U249" i="1"/>
  <c r="V249" i="1"/>
  <c r="W249" i="1"/>
  <c r="S250" i="1"/>
  <c r="T250" i="1"/>
  <c r="U250" i="1"/>
  <c r="V250" i="1"/>
  <c r="W250" i="1"/>
  <c r="S251" i="1"/>
  <c r="T251" i="1"/>
  <c r="U251" i="1"/>
  <c r="V251" i="1"/>
  <c r="W251" i="1"/>
  <c r="S252" i="1"/>
  <c r="T252" i="1"/>
  <c r="U252" i="1"/>
  <c r="V252" i="1"/>
  <c r="W252" i="1"/>
  <c r="S253" i="1"/>
  <c r="T253" i="1"/>
  <c r="U253" i="1"/>
  <c r="V253" i="1"/>
  <c r="W253" i="1"/>
  <c r="S254" i="1"/>
  <c r="T254" i="1"/>
  <c r="U254" i="1"/>
  <c r="V254" i="1"/>
  <c r="W254" i="1"/>
  <c r="S255" i="1"/>
  <c r="T255" i="1"/>
  <c r="U255" i="1"/>
  <c r="V255" i="1"/>
  <c r="W255" i="1"/>
  <c r="S256" i="1"/>
  <c r="T256" i="1"/>
  <c r="U256" i="1"/>
  <c r="V256" i="1"/>
  <c r="W256" i="1"/>
  <c r="S257" i="1"/>
  <c r="T257" i="1"/>
  <c r="U257" i="1"/>
  <c r="V257" i="1"/>
  <c r="W257" i="1"/>
  <c r="S258" i="1"/>
  <c r="T258" i="1"/>
  <c r="U258" i="1"/>
  <c r="V258" i="1"/>
  <c r="W258" i="1"/>
  <c r="S259" i="1"/>
  <c r="T259" i="1"/>
  <c r="U259" i="1"/>
  <c r="V259" i="1"/>
  <c r="W259" i="1"/>
  <c r="S260" i="1"/>
  <c r="T260" i="1"/>
  <c r="U260" i="1"/>
  <c r="V260" i="1"/>
  <c r="W260" i="1"/>
  <c r="S261" i="1"/>
  <c r="T261" i="1"/>
  <c r="U261" i="1"/>
  <c r="V261" i="1"/>
  <c r="W261" i="1"/>
  <c r="S262" i="1"/>
  <c r="T262" i="1"/>
  <c r="U262" i="1"/>
  <c r="V262" i="1"/>
  <c r="W262" i="1"/>
  <c r="S263" i="1"/>
  <c r="T263" i="1"/>
  <c r="U263" i="1"/>
  <c r="V263" i="1"/>
  <c r="W263" i="1"/>
  <c r="S264" i="1"/>
  <c r="T264" i="1"/>
  <c r="U264" i="1"/>
  <c r="V264" i="1"/>
  <c r="W264" i="1"/>
  <c r="S265" i="1"/>
  <c r="T265" i="1"/>
  <c r="U265" i="1"/>
  <c r="V265" i="1"/>
  <c r="W265" i="1"/>
  <c r="S266" i="1"/>
  <c r="T266" i="1"/>
  <c r="U266" i="1"/>
  <c r="V266" i="1"/>
  <c r="W266" i="1"/>
  <c r="S267" i="1"/>
  <c r="T267" i="1"/>
  <c r="U267" i="1"/>
  <c r="V267" i="1"/>
  <c r="W267" i="1"/>
  <c r="S268" i="1"/>
  <c r="T268" i="1"/>
  <c r="U268" i="1"/>
  <c r="V268" i="1"/>
  <c r="W268" i="1"/>
  <c r="S269" i="1"/>
  <c r="T269" i="1"/>
  <c r="U269" i="1"/>
  <c r="V269" i="1"/>
  <c r="W269" i="1"/>
  <c r="S270" i="1"/>
  <c r="T270" i="1"/>
  <c r="U270" i="1"/>
  <c r="V270" i="1"/>
  <c r="W270" i="1"/>
  <c r="S271" i="1"/>
  <c r="T271" i="1"/>
  <c r="U271" i="1"/>
  <c r="V271" i="1"/>
  <c r="W271" i="1"/>
  <c r="S272" i="1"/>
  <c r="T272" i="1"/>
  <c r="U272" i="1"/>
  <c r="V272" i="1"/>
  <c r="W272" i="1"/>
  <c r="S273" i="1"/>
  <c r="T273" i="1"/>
  <c r="U273" i="1"/>
  <c r="V273" i="1"/>
  <c r="W273" i="1"/>
  <c r="W2" i="1"/>
  <c r="V2" i="1"/>
  <c r="U2" i="1"/>
  <c r="T2" i="1"/>
  <c r="S2" i="1"/>
  <c r="D7" i="3" l="1"/>
  <c r="D8" i="3"/>
  <c r="E4" i="3"/>
  <c r="D4" i="3"/>
  <c r="I4" i="3"/>
  <c r="H4" i="3"/>
  <c r="F4" i="3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M2" i="1"/>
  <c r="M3" i="1" s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B4" i="3" l="1"/>
  <c r="C4" i="3"/>
  <c r="D5" i="3" s="1"/>
  <c r="G4" i="3"/>
</calcChain>
</file>

<file path=xl/sharedStrings.xml><?xml version="1.0" encoding="utf-8"?>
<sst xmlns="http://schemas.openxmlformats.org/spreadsheetml/2006/main" count="2231" uniqueCount="744">
  <si>
    <t>doc_id</t>
  </si>
  <si>
    <t>doc_title</t>
  </si>
  <si>
    <t>doc_group</t>
  </si>
  <si>
    <t>label_id</t>
  </si>
  <si>
    <t>gold</t>
  </si>
  <si>
    <t>suggested</t>
  </si>
  <si>
    <t>qm_ratings</t>
  </si>
  <si>
    <t>llm_relevance</t>
  </si>
  <si>
    <t>cosine_similarity</t>
  </si>
  <si>
    <t>label_text</t>
  </si>
  <si>
    <t>term</t>
  </si>
  <si>
    <t>candidate</t>
  </si>
  <si>
    <t>3A1645658597</t>
  </si>
  <si>
    <t>Handbuch des Deutschen in West- und Mitteleuropa : Sprachminderheiten und Mehrsprachigkeitskonstellationen</t>
  </si>
  <si>
    <t>(classificationName=linsearch:mapping)lin</t>
  </si>
  <si>
    <t>gnd:1212065077</t>
  </si>
  <si>
    <t>NNN</t>
  </si>
  <si>
    <t>Linguistic Landscape</t>
  </si>
  <si>
    <t>Sprachlandschaft</t>
  </si>
  <si>
    <t>gnd:4038403-2</t>
  </si>
  <si>
    <t>YYY</t>
  </si>
  <si>
    <t>Mehrsprachigkeit</t>
  </si>
  <si>
    <t>gnd:4113292-0</t>
  </si>
  <si>
    <t>Deutsch</t>
  </si>
  <si>
    <t>gnd:4131504-2</t>
  </si>
  <si>
    <t>Sprachliche Minderheit</t>
  </si>
  <si>
    <t>Sprachminderheit</t>
  </si>
  <si>
    <t>gnd:4191506-9</t>
  </si>
  <si>
    <t>Sprachgebrauch</t>
  </si>
  <si>
    <t>gnd:4132313-0</t>
  </si>
  <si>
    <t>Minderheitensprache</t>
  </si>
  <si>
    <t>3A1681233886</t>
  </si>
  <si>
    <t>Im Spiegel der Sprache : warum die Welt in anderen Sprachen anders aussieht</t>
  </si>
  <si>
    <t>gnd:4056449-6</t>
  </si>
  <si>
    <t>Sprache</t>
  </si>
  <si>
    <t>gnd:4074250-7</t>
  </si>
  <si>
    <t>III</t>
  </si>
  <si>
    <t>Linguistik</t>
  </si>
  <si>
    <t>gnd:4064317-7</t>
  </si>
  <si>
    <t>Wahrnehmung</t>
  </si>
  <si>
    <t>gnd:4125698-0</t>
  </si>
  <si>
    <t>Kultur</t>
  </si>
  <si>
    <t>gnd:4187739-1</t>
  </si>
  <si>
    <t>Vergleichende Sprachwissenschaft</t>
  </si>
  <si>
    <t>gnd:4114570-7</t>
  </si>
  <si>
    <t>Mentalität</t>
  </si>
  <si>
    <t>3A1728461472</t>
  </si>
  <si>
    <t>Die Syntax des Semikolons : von links ein Punkt – nach rechts ein Komma</t>
  </si>
  <si>
    <t>gnd:4058779-4</t>
  </si>
  <si>
    <t>Syntax</t>
  </si>
  <si>
    <t>gnd:4021806-5</t>
  </si>
  <si>
    <t>N</t>
  </si>
  <si>
    <t>Grammatik</t>
  </si>
  <si>
    <t>gnd:4079477-5</t>
  </si>
  <si>
    <t>Zeichensetzung</t>
  </si>
  <si>
    <t>Interpunktion</t>
  </si>
  <si>
    <t>gnd:119227699X</t>
  </si>
  <si>
    <t>Semikolon</t>
  </si>
  <si>
    <t>3A1760914371</t>
  </si>
  <si>
    <t>An exploration of context updating mechanisms from a cross-linguistic perspective</t>
  </si>
  <si>
    <t>gnd:4076315-8</t>
  </si>
  <si>
    <t>Pragmatik</t>
  </si>
  <si>
    <t>gnd:4014777-0</t>
  </si>
  <si>
    <t>Englisch</t>
  </si>
  <si>
    <t>gnd:4077748-0</t>
  </si>
  <si>
    <t>Sprechakttheorie</t>
  </si>
  <si>
    <t>3A640863299</t>
  </si>
  <si>
    <t>Foreign influences on medieval English : [papers presented at the International conference on foreigen influences on Medieval English held in Warsaw on 12-13 december 2009]</t>
  </si>
  <si>
    <t>gnd:4039676-9</t>
  </si>
  <si>
    <t>Mittelenglisch</t>
  </si>
  <si>
    <t>gnd:4071461-5</t>
  </si>
  <si>
    <t>Fremdsprachenlernen</t>
  </si>
  <si>
    <t>Fremdsprachen</t>
  </si>
  <si>
    <t>gnd:4002009-5</t>
  </si>
  <si>
    <t>Angelsachsen</t>
  </si>
  <si>
    <t>gnd:4035076-9</t>
  </si>
  <si>
    <t>Lehnwort</t>
  </si>
  <si>
    <t>3A785204539</t>
  </si>
  <si>
    <t>Der Wortschatz der Ebla-Texte : morphologische und lexikalische Analyse</t>
  </si>
  <si>
    <t>gnd:4035549-4</t>
  </si>
  <si>
    <t>Lexikon</t>
  </si>
  <si>
    <t>gnd:4220613-3</t>
  </si>
  <si>
    <t>Eblaitisch</t>
  </si>
  <si>
    <t>gnd:4126555-5</t>
  </si>
  <si>
    <t>Wortschatz</t>
  </si>
  <si>
    <t>gnd:4040289-7</t>
  </si>
  <si>
    <t>Morphologie</t>
  </si>
  <si>
    <t>3A792504461</t>
  </si>
  <si>
    <t>Structural and sociolinguistic perspectives on indigenisation : on multilingualism and language evolution</t>
  </si>
  <si>
    <t>gnd:4073624-6</t>
  </si>
  <si>
    <t>Kolonialismus</t>
  </si>
  <si>
    <t>gnd:4056508-7</t>
  </si>
  <si>
    <t>Sprachwandel</t>
  </si>
  <si>
    <t>gnd:4127662-0</t>
  </si>
  <si>
    <t>Indigenismus</t>
  </si>
  <si>
    <t>Indigenisierung</t>
  </si>
  <si>
    <t>gnd:4113615-9</t>
  </si>
  <si>
    <t>Französisch</t>
  </si>
  <si>
    <t>3A828081131</t>
  </si>
  <si>
    <t>The function and use of TO and OF in multi-word units</t>
  </si>
  <si>
    <t>gnd:4165338-5</t>
  </si>
  <si>
    <t>Korpus Linguistik</t>
  </si>
  <si>
    <t>Korpus (Linguistik)</t>
  </si>
  <si>
    <t>gnd:4047008-8</t>
  </si>
  <si>
    <t>Präposition</t>
  </si>
  <si>
    <t>Präposition</t>
  </si>
  <si>
    <t>Preposition</t>
  </si>
  <si>
    <t>3A830149120</t>
  </si>
  <si>
    <t>Topic Drop and Null Subjects in German</t>
  </si>
  <si>
    <t>gnd:4390839-1</t>
  </si>
  <si>
    <t>Pro-Drop-Parameter</t>
  </si>
  <si>
    <t>Null-Subjekt</t>
  </si>
  <si>
    <t>Nullsubjekt</t>
  </si>
  <si>
    <t>gnd:4113716-4</t>
  </si>
  <si>
    <t>Germanische Sprachen</t>
  </si>
  <si>
    <t>gnd:4185707-0</t>
  </si>
  <si>
    <t>Topik</t>
  </si>
  <si>
    <t>gnd:4183909-2</t>
  </si>
  <si>
    <t>Subjektloser Satz</t>
  </si>
  <si>
    <t>gnd:4070299-6</t>
  </si>
  <si>
    <t>Dependenzgrammatik</t>
  </si>
  <si>
    <t>3A831859067</t>
  </si>
  <si>
    <t>Sprachwissenschaft im Fokus : Positionsbestimmungen und Perspektiven ; [50. Jahrestagung des Instituts für Deutsche Sprache, Mannheim 11. - 13. März 2014]</t>
  </si>
  <si>
    <t>gnd:4035548-2</t>
  </si>
  <si>
    <t>I</t>
  </si>
  <si>
    <t>Lexikografie</t>
  </si>
  <si>
    <t>gnd:4114409-0</t>
  </si>
  <si>
    <t>Lexikologie</t>
  </si>
  <si>
    <t>Korpuslinguistik</t>
  </si>
  <si>
    <t>3A1013196589</t>
  </si>
  <si>
    <t>Poetologische Lyrik der Frühaufklärung : Gattungsfragen, Diskurse, Genderaspekte</t>
  </si>
  <si>
    <t>(classificationName=linsearch:mapping)lit</t>
  </si>
  <si>
    <t>gnd:4036774-5</t>
  </si>
  <si>
    <t>Lyrik</t>
  </si>
  <si>
    <t>gnd:4046449-0</t>
  </si>
  <si>
    <t>Poetik</t>
  </si>
  <si>
    <t>gnd:4003524-4</t>
  </si>
  <si>
    <t>Aufklärung</t>
  </si>
  <si>
    <t>Aufklärung</t>
  </si>
  <si>
    <t>gnd:4222106-7</t>
  </si>
  <si>
    <t>Geschlechterrolle (Motiv)</t>
  </si>
  <si>
    <t>gnd:4323424-0</t>
  </si>
  <si>
    <t>Poetologische Lyrik</t>
  </si>
  <si>
    <t>gnd:4137287-6</t>
  </si>
  <si>
    <t>Gattungstheorie</t>
  </si>
  <si>
    <t>3A1655828231</t>
  </si>
  <si>
    <t>Harry Potters literarischer Zauber : eine Analyse zum Erfolg der Buchserie</t>
  </si>
  <si>
    <t>gnd:4036034-9</t>
  </si>
  <si>
    <t>Literaturwissenschaft</t>
  </si>
  <si>
    <t>gnd:4035441-6</t>
  </si>
  <si>
    <t>Leser</t>
  </si>
  <si>
    <t>gnd:4169194-5</t>
  </si>
  <si>
    <t>Medienwissenschaft</t>
  </si>
  <si>
    <t>gnd:4014606-6</t>
  </si>
  <si>
    <t>Empirische Sozialforschung</t>
  </si>
  <si>
    <t>Empirische Verhaltensforschung</t>
  </si>
  <si>
    <t>gnd:4037589-4</t>
  </si>
  <si>
    <t>Y</t>
  </si>
  <si>
    <t>Marketing</t>
  </si>
  <si>
    <t>gnd:4194196-2</t>
  </si>
  <si>
    <t>Textanalyse</t>
  </si>
  <si>
    <t>3A1690415053</t>
  </si>
  <si>
    <t>"Über diesem Abgrund" : Studien zur Literatur der Shoah</t>
  </si>
  <si>
    <t>gnd:4035964-5</t>
  </si>
  <si>
    <t>Literatur</t>
  </si>
  <si>
    <t>gnd:4073091-8</t>
  </si>
  <si>
    <t>Judenvernichtung</t>
  </si>
  <si>
    <t>Holocaust</t>
  </si>
  <si>
    <t>gnd:4165683-0</t>
  </si>
  <si>
    <t>Kriegsliteratur</t>
  </si>
  <si>
    <t>Holocaustliteratur</t>
  </si>
  <si>
    <t>gnd:7610472-2</t>
  </si>
  <si>
    <t>International Day of Commemoration to honour the victims of the Holocaust</t>
  </si>
  <si>
    <t>Holocaust-Gedenktag</t>
  </si>
  <si>
    <t>Holocaustgedenken</t>
  </si>
  <si>
    <t>gnd:1215271336</t>
  </si>
  <si>
    <t>Israelforschung</t>
  </si>
  <si>
    <t>Israelstudien</t>
  </si>
  <si>
    <t>Holocauststudien</t>
  </si>
  <si>
    <t>gnd:4122228-3</t>
  </si>
  <si>
    <t>Judenvernichtung (Motiv)</t>
  </si>
  <si>
    <t>gnd:4015272-8</t>
  </si>
  <si>
    <t>Erinnerung</t>
  </si>
  <si>
    <t>gnd:4193441-6</t>
  </si>
  <si>
    <t>Erinnerung (Motiv)</t>
  </si>
  <si>
    <t>3A1736439154</t>
  </si>
  <si>
    <t>Studien zu Homer, zur Tragödie und zum Satyrspiel</t>
  </si>
  <si>
    <t>gnd:4060591-7</t>
  </si>
  <si>
    <t>Tragödie</t>
  </si>
  <si>
    <t>Tragödie</t>
  </si>
  <si>
    <t>gnd:4179175-7</t>
  </si>
  <si>
    <t>Satyrspiel</t>
  </si>
  <si>
    <t>gnd:4113791-7</t>
  </si>
  <si>
    <t>Griechisch</t>
  </si>
  <si>
    <t>3A1738519694</t>
  </si>
  <si>
    <t>Literarische Reflexionsräume des Politischen : Neuausrichtungen in Erzähltexten der Gegenwart</t>
  </si>
  <si>
    <t>gnd:4137400-9</t>
  </si>
  <si>
    <t>Politische Literatur</t>
  </si>
  <si>
    <t>gnd:7564086-7</t>
  </si>
  <si>
    <t>Raum der Stille</t>
  </si>
  <si>
    <t>Meditationsraum</t>
  </si>
  <si>
    <t>Reflexionsräume</t>
  </si>
  <si>
    <t>gnd:4189602-6</t>
  </si>
  <si>
    <t>Weltliteratur</t>
  </si>
  <si>
    <t>Gegenwartsliteratur</t>
  </si>
  <si>
    <t>gnd:4239827-7</t>
  </si>
  <si>
    <t>Politischer Roman</t>
  </si>
  <si>
    <t>3A1742736750</t>
  </si>
  <si>
    <t>Mittelerde : Tolkien und die germanische Mythologie</t>
  </si>
  <si>
    <t>gnd:4041005-5</t>
  </si>
  <si>
    <t>Mythologie</t>
  </si>
  <si>
    <t>gnd:4075459-5</t>
  </si>
  <si>
    <t>Nordgermanen</t>
  </si>
  <si>
    <t>3A1780562055</t>
  </si>
  <si>
    <t>The Arden research handbook of Shakespeare and adaptation</t>
  </si>
  <si>
    <t>gnd:4128128-7</t>
  </si>
  <si>
    <t>Anpassung</t>
  </si>
  <si>
    <t>Adaption</t>
  </si>
  <si>
    <t>gnd:102289935X</t>
  </si>
  <si>
    <t>Adaption (Literatur)</t>
  </si>
  <si>
    <t>3A615728146</t>
  </si>
  <si>
    <t>Comics as a nexus of cultures : essays on the interplay of media, disciplines and international perspectives</t>
  </si>
  <si>
    <t>gnd:4010427-8</t>
  </si>
  <si>
    <t>Comic</t>
  </si>
  <si>
    <t>gnd:4605581-2</t>
  </si>
  <si>
    <t>Intermedialität</t>
  </si>
  <si>
    <t>Intermedialität</t>
  </si>
  <si>
    <t>gnd:7622329-2</t>
  </si>
  <si>
    <t>Medienkultur</t>
  </si>
  <si>
    <t>gnd:4142484-0</t>
  </si>
  <si>
    <t>Animationsfilm</t>
  </si>
  <si>
    <t>3A633917567</t>
  </si>
  <si>
    <t>Literature after Darwin : human beasts in western fiction, 1859 - 1939</t>
  </si>
  <si>
    <t>gnd:4060087-7</t>
  </si>
  <si>
    <t>Tiere</t>
  </si>
  <si>
    <t>gnd:4047497-5</t>
  </si>
  <si>
    <t>Prosa</t>
  </si>
  <si>
    <t>gnd:4049716-1</t>
  </si>
  <si>
    <t>Rezeption</t>
  </si>
  <si>
    <t>gnd:4185464-0</t>
  </si>
  <si>
    <t>Tiere (Motiv)</t>
  </si>
  <si>
    <t>3A860243907</t>
  </si>
  <si>
    <t>Memoirs of well-being : rewriting discourses of illness and disability</t>
  </si>
  <si>
    <t>gnd:4112696-8</t>
  </si>
  <si>
    <t>Behinderung</t>
  </si>
  <si>
    <t>gnd:4024087-3</t>
  </si>
  <si>
    <t>Heilung</t>
  </si>
  <si>
    <t>gnd:4032844-2</t>
  </si>
  <si>
    <t>Krankheit</t>
  </si>
  <si>
    <t>gnd:4134679-8</t>
  </si>
  <si>
    <t>Erlebnis</t>
  </si>
  <si>
    <t>gnd:4034869-6</t>
  </si>
  <si>
    <t>Lebenslauf</t>
  </si>
  <si>
    <t>Lebensgeschichte</t>
  </si>
  <si>
    <t>gnd:4229239-6</t>
  </si>
  <si>
    <t>Behinderung (Motiv)</t>
  </si>
  <si>
    <t>gnd:4143683-0</t>
  </si>
  <si>
    <t>Autobiografische Literatur</t>
  </si>
  <si>
    <t>gnd:4114304-8</t>
  </si>
  <si>
    <t>Krankheit (Motiv)</t>
  </si>
  <si>
    <t>3A1030104697</t>
  </si>
  <si>
    <t>Differenzialrechnung leicht gemacht!</t>
  </si>
  <si>
    <t>(classificationName=linsearch:mapping)mat</t>
  </si>
  <si>
    <t>gnd:4012252-9</t>
  </si>
  <si>
    <t>Differentialrechnung</t>
  </si>
  <si>
    <t>Differenzialrechnung</t>
  </si>
  <si>
    <t>gnd:4184549-3</t>
  </si>
  <si>
    <t>Taylor-Formel</t>
  </si>
  <si>
    <t>gnd:4359957-6</t>
  </si>
  <si>
    <t>Eulersche Formel</t>
  </si>
  <si>
    <t>Euler-Formel</t>
  </si>
  <si>
    <t>3A165501546X</t>
  </si>
  <si>
    <t>C*-Algebras : Proceedings of the SFB-Workshop on C*-Algebras, Münster, Germany, March 8–12, 1999</t>
  </si>
  <si>
    <t>gnd:4033335-8</t>
  </si>
  <si>
    <t>K-Theorie</t>
  </si>
  <si>
    <t>gnd:4136693-1</t>
  </si>
  <si>
    <t>C-Stern-Algebra</t>
  </si>
  <si>
    <t>gnd:4171742-9</t>
  </si>
  <si>
    <t>Nichtkommutative Geometrie</t>
  </si>
  <si>
    <t>Nonkommutative Geometrie</t>
  </si>
  <si>
    <t>gnd:4688506-7</t>
  </si>
  <si>
    <t>Baum-Connes-Vermutung</t>
  </si>
  <si>
    <t>3A165511929X</t>
  </si>
  <si>
    <t>Abelian Group Theory : Proceedings of the 2nd New Mexico State University Conference, Held at Las Cruces, New Mexico, December 9–12, 1976</t>
  </si>
  <si>
    <t>gnd:4140988-7</t>
  </si>
  <si>
    <t>Abelsche Gruppe</t>
  </si>
  <si>
    <t>3A1655160516</t>
  </si>
  <si>
    <t>Classifying Immersions into ℝ4 over Stable Maps of 3-Manifolds into ℝ2</t>
  </si>
  <si>
    <t>gnd:4120739-7</t>
  </si>
  <si>
    <t>Minimale Immersion</t>
  </si>
  <si>
    <t>Immersion</t>
  </si>
  <si>
    <t>gnd:4121712-3</t>
  </si>
  <si>
    <t>Stabile Abbildung</t>
  </si>
  <si>
    <t>gnd:4151268-6</t>
  </si>
  <si>
    <t>Einfache Singularität</t>
  </si>
  <si>
    <t>Einfache Singularität</t>
  </si>
  <si>
    <t>Singularität</t>
  </si>
  <si>
    <t>gnd:4037379-4</t>
  </si>
  <si>
    <t>Mannigfaltigkeit</t>
  </si>
  <si>
    <t>gnd:4030958-7</t>
  </si>
  <si>
    <t>Klassifikation</t>
  </si>
  <si>
    <t>gnd:4161350-8</t>
  </si>
  <si>
    <t>Immersion (Topologie)</t>
  </si>
  <si>
    <t>3A1655292307</t>
  </si>
  <si>
    <t>Invariant Manifolds, Entropy and Billiards; Smooth Maps with Singularities</t>
  </si>
  <si>
    <t>gnd:4013396-5</t>
  </si>
  <si>
    <t>Dynamisches System</t>
  </si>
  <si>
    <t>gnd:4348147-4</t>
  </si>
  <si>
    <t>Invariante Mannigfaltigkeit</t>
  </si>
  <si>
    <t>gnd:4055100-3</t>
  </si>
  <si>
    <t>Singuläre Störung</t>
  </si>
  <si>
    <t>Singuläre Störung</t>
  </si>
  <si>
    <t>gnd:4077459-4</t>
  </si>
  <si>
    <t>Singularität (Mathematik)</t>
  </si>
  <si>
    <t>3A1659487692</t>
  </si>
  <si>
    <t>Clifford Algebras : Geometric Modelling and Chain Geometries with Application in Kinematics</t>
  </si>
  <si>
    <t>gnd:4199958-7</t>
  </si>
  <si>
    <t>Clifford-Algebra</t>
  </si>
  <si>
    <t>gnd:4020236-7</t>
  </si>
  <si>
    <t>Geometrie</t>
  </si>
  <si>
    <t>gnd:4030664-1</t>
  </si>
  <si>
    <t>Kinematik</t>
  </si>
  <si>
    <t>gnd:4667057-9</t>
  </si>
  <si>
    <t>Kettengeometrie</t>
  </si>
  <si>
    <t>3A510790976</t>
  </si>
  <si>
    <t>Der Greenring einer endlichen Gruppe mit einer zyklischen Sylowuntergruppe</t>
  </si>
  <si>
    <t>gnd:4158469-7</t>
  </si>
  <si>
    <t>Gruppenring</t>
  </si>
  <si>
    <t>gnd:4014651-0</t>
  </si>
  <si>
    <t>Endliche Gruppe</t>
  </si>
  <si>
    <t>gnd:4311996-7</t>
  </si>
  <si>
    <t>Modulare Darstellung</t>
  </si>
  <si>
    <t>gnd:4164821-3</t>
  </si>
  <si>
    <t>Kommutative Algebra</t>
  </si>
  <si>
    <t>3A893435325</t>
  </si>
  <si>
    <t>Simultane Konfidenzbänder für die nichtparametrische Trendfunktion</t>
  </si>
  <si>
    <t>gnd:4644801-9</t>
  </si>
  <si>
    <t>Konfidenzintervall</t>
  </si>
  <si>
    <t>Konfidenzband</t>
  </si>
  <si>
    <t>gnd:4139168-8</t>
  </si>
  <si>
    <t>Bootstrap-Statistik</t>
  </si>
  <si>
    <t>Bootstrap-Verfahren</t>
  </si>
  <si>
    <t>gnd:4192224-4</t>
  </si>
  <si>
    <t>Trendanalyse</t>
  </si>
  <si>
    <t>Trendschätzung</t>
  </si>
  <si>
    <t>gnd:4442264-7</t>
  </si>
  <si>
    <t>Trendtest</t>
  </si>
  <si>
    <t>gnd:4431358-5</t>
  </si>
  <si>
    <t>Schätzfunktion</t>
  </si>
  <si>
    <t>3A630345465</t>
  </si>
  <si>
    <t>Analysis of large-scale metabolic networks : organization theory, phenotype prediction and elementary flux patterns</t>
  </si>
  <si>
    <t>(classificationName=linsearch:mapping)meda,(classificationName=linsearch:mapping)bio,(classificationName=linsearch:mapping)mat</t>
  </si>
  <si>
    <t>gnd:4809615-5</t>
  </si>
  <si>
    <t>Systembiologie</t>
  </si>
  <si>
    <t>gnd:4070959-0</t>
  </si>
  <si>
    <t>Escherichia coli</t>
  </si>
  <si>
    <t>gnd:4131643-5</t>
  </si>
  <si>
    <t>Netzwerkmodell</t>
  </si>
  <si>
    <t>gnd:4169554-9</t>
  </si>
  <si>
    <t>Metabolismus</t>
  </si>
  <si>
    <t>gnd:4171529-9</t>
  </si>
  <si>
    <t>Netzwerk</t>
  </si>
  <si>
    <t>3A087062151</t>
  </si>
  <si>
    <t>Labour supply and incentives to work in Europe</t>
  </si>
  <si>
    <t>(classificationName=linsearch:mapping)oek</t>
  </si>
  <si>
    <t>gnd:4002737-5</t>
  </si>
  <si>
    <t>Arbeitsmarktpolitik</t>
  </si>
  <si>
    <t>gnd:4112565-4</t>
  </si>
  <si>
    <t>Arbeitsangebot</t>
  </si>
  <si>
    <t>gnd:4069332-6</t>
  </si>
  <si>
    <t>Berufliche Integration</t>
  </si>
  <si>
    <t>Arbeitsmarktintegration</t>
  </si>
  <si>
    <t>Arbeitsmarktinstitutionen</t>
  </si>
  <si>
    <t>gnd:4132063-3</t>
  </si>
  <si>
    <t>Arbeitsmotivation</t>
  </si>
  <si>
    <t>gnd:4133767-0</t>
  </si>
  <si>
    <t>Anreiz</t>
  </si>
  <si>
    <t>gnd:4002733-8</t>
  </si>
  <si>
    <t>Arbeitsmarkt</t>
  </si>
  <si>
    <t>3A1023445077</t>
  </si>
  <si>
    <t>The making of national economic forecasts</t>
  </si>
  <si>
    <t>gnd:4066399-1</t>
  </si>
  <si>
    <t>Wirtschaft</t>
  </si>
  <si>
    <t>gnd:4123623-3</t>
  </si>
  <si>
    <t>Lehrbuch</t>
  </si>
  <si>
    <t>gnd:4132280-0</t>
  </si>
  <si>
    <t>Ökonometrie</t>
  </si>
  <si>
    <t>Ökonometrie</t>
  </si>
  <si>
    <t>gnd:4047390-9</t>
  </si>
  <si>
    <t>Prognose</t>
  </si>
  <si>
    <t>gnd:4139119-6</t>
  </si>
  <si>
    <t>Konjunkturprognose</t>
  </si>
  <si>
    <t>gnd:4056618-3</t>
  </si>
  <si>
    <t>Staat</t>
  </si>
  <si>
    <t>gnd:4120509-1</t>
  </si>
  <si>
    <t>Internationaler Vergleich</t>
  </si>
  <si>
    <t>gnd:4066438-7</t>
  </si>
  <si>
    <t>Wirtschaftsentwicklung</t>
  </si>
  <si>
    <t>3A1653887915</t>
  </si>
  <si>
    <t>Anreizoptimale Vertragsgestaltung im Energie-Performance-Contracting bei Double Moral Hazard</t>
  </si>
  <si>
    <t>gnd:4261583-5</t>
  </si>
  <si>
    <t>Contracting</t>
  </si>
  <si>
    <t>gnd:4322425-8</t>
  </si>
  <si>
    <t>Moral Hazard</t>
  </si>
  <si>
    <t>Double Moral Hazard</t>
  </si>
  <si>
    <t>gnd:7660153-5</t>
  </si>
  <si>
    <t>Energieeffizienz</t>
  </si>
  <si>
    <t>gnd:4112532-0</t>
  </si>
  <si>
    <t>Anreizsystem</t>
  </si>
  <si>
    <t>gnd:4163515-2</t>
  </si>
  <si>
    <t>Kautelarjurisprudenz</t>
  </si>
  <si>
    <t>Vertragsgestaltung</t>
  </si>
  <si>
    <t>gnd:4063270-2</t>
  </si>
  <si>
    <t>Vertrag</t>
  </si>
  <si>
    <t>gnd:4061638-1</t>
  </si>
  <si>
    <t>Umweltökonomie</t>
  </si>
  <si>
    <t>gnd:4014743-5</t>
  </si>
  <si>
    <t>Energiewirtschaft</t>
  </si>
  <si>
    <t>gnd:4014700-9</t>
  </si>
  <si>
    <t>Energieeinsparung</t>
  </si>
  <si>
    <t>3A168734406X</t>
  </si>
  <si>
    <t>Dynamic term structure modeling beyond the paradigm of absolute continuity</t>
  </si>
  <si>
    <t>gnd:4017195-4</t>
  </si>
  <si>
    <t>Finanzmathematik</t>
  </si>
  <si>
    <t>gnd:4114309-7</t>
  </si>
  <si>
    <t>Kreditrisiko</t>
  </si>
  <si>
    <t>gnd:4117720-4</t>
  </si>
  <si>
    <t>Zinsstrukturtheorie</t>
  </si>
  <si>
    <t>gnd:4180967-1</t>
  </si>
  <si>
    <t>Semimartingal</t>
  </si>
  <si>
    <t>gnd:7635855-0</t>
  </si>
  <si>
    <t>Finanzkrise</t>
  </si>
  <si>
    <t>gnd:4002820-3</t>
  </si>
  <si>
    <t>Arbitrage</t>
  </si>
  <si>
    <t>gnd:4205942-2</t>
  </si>
  <si>
    <t>Ausfallrisiko</t>
  </si>
  <si>
    <t>gnd:4067855-6</t>
  </si>
  <si>
    <t>Zinsstruktur</t>
  </si>
  <si>
    <t>gnd:4642940-2</t>
  </si>
  <si>
    <t>HJM-Modell</t>
  </si>
  <si>
    <t>3A1741577772</t>
  </si>
  <si>
    <t>Preispolitik im digitalen Zeitalter : Auswirkungen von Digitalisierung und künstlicher Intelligenz</t>
  </si>
  <si>
    <t>gnd:4047118-4</t>
  </si>
  <si>
    <t>Preispolitik</t>
  </si>
  <si>
    <t>gnd:4033447-8</t>
  </si>
  <si>
    <t>Künstliche Intelligenz</t>
  </si>
  <si>
    <t>Künstliche Intelligenz</t>
  </si>
  <si>
    <t>gnd:4123065-6</t>
  </si>
  <si>
    <t>Digitalisierung</t>
  </si>
  <si>
    <t>3A1744975450</t>
  </si>
  <si>
    <t>Cost-benefit analysis and water resources management</t>
  </si>
  <si>
    <t>gnd:4032589-1</t>
  </si>
  <si>
    <t>Kosten-Nutzen-Analyse</t>
  </si>
  <si>
    <t>gnd:4064811-4</t>
  </si>
  <si>
    <t>Wasserversorgung</t>
  </si>
  <si>
    <t>gnd:4124439-4</t>
  </si>
  <si>
    <t>Wasserreserve</t>
  </si>
  <si>
    <t>3A1768054215</t>
  </si>
  <si>
    <t>Die digitale Kommunikationsstrategie : Praxis-Leitfaden für Unternehmen, Institutionen und Agenturen</t>
  </si>
  <si>
    <t>gnd:4201794-4</t>
  </si>
  <si>
    <t>Kommunikationsstrategie</t>
  </si>
  <si>
    <t>gnd:4121069-4</t>
  </si>
  <si>
    <t>Bürokommunikation</t>
  </si>
  <si>
    <t>Bürokommunikation</t>
  </si>
  <si>
    <t>Unternehmenskommunikation</t>
  </si>
  <si>
    <t>gnd:4061963-1</t>
  </si>
  <si>
    <t>Unternehmen</t>
  </si>
  <si>
    <t>3A741234726</t>
  </si>
  <si>
    <t>Technology transfer in a global economy</t>
  </si>
  <si>
    <t>gnd:4059277-7</t>
  </si>
  <si>
    <t>Technologietransfer</t>
  </si>
  <si>
    <t>gnd:4027089-0</t>
  </si>
  <si>
    <t>Innovation</t>
  </si>
  <si>
    <t>gnd:4557997-0</t>
  </si>
  <si>
    <t>Globalisierung</t>
  </si>
  <si>
    <t>gnd:4017894-8</t>
  </si>
  <si>
    <t>Forschung</t>
  </si>
  <si>
    <t>gnd:4006650-2</t>
  </si>
  <si>
    <t>Bildung</t>
  </si>
  <si>
    <t>gnd:4162106-2</t>
  </si>
  <si>
    <t>Internationalisierung</t>
  </si>
  <si>
    <t>gnd:4065468-0</t>
  </si>
  <si>
    <t>Weltwirtschaft</t>
  </si>
  <si>
    <t>3A855591188</t>
  </si>
  <si>
    <t>Geschäftsmodelle für AAL-Lösungen entwickeln durch systematische Einbeziehung der Anspruchsgruppen</t>
  </si>
  <si>
    <t>gnd:7737985-8</t>
  </si>
  <si>
    <t>Geschäftsmodell</t>
  </si>
  <si>
    <t>Geschäftsmodell</t>
  </si>
  <si>
    <t>gnd:4300861-6</t>
  </si>
  <si>
    <t>Stakeholder</t>
  </si>
  <si>
    <t>Anspruchsgruppe</t>
  </si>
  <si>
    <t>Anspruchsgruppen</t>
  </si>
  <si>
    <t>gnd:4786750-4</t>
  </si>
  <si>
    <t>Wala Volk</t>
  </si>
  <si>
    <t>Aal</t>
  </si>
  <si>
    <t>AAL</t>
  </si>
  <si>
    <t>gnd:4005541-3</t>
  </si>
  <si>
    <t>Benutzerfreundlichkeit</t>
  </si>
  <si>
    <t>Usability</t>
  </si>
  <si>
    <t>gnd:7693422-6</t>
  </si>
  <si>
    <t>AAL-Technik</t>
  </si>
  <si>
    <t>3A733550606</t>
  </si>
  <si>
    <t>Verbundinstandhaltung bei Kleinstunternehmen, kleinen und mittleren Unternehmen (KMU) : ein Konzept für neue Organisationsformen der Instandhaltung</t>
  </si>
  <si>
    <t>(classificationName=linsearch:mapping)oek,(classificationName=linsearch:mapping)tec</t>
  </si>
  <si>
    <t>gnd:4027145-6</t>
  </si>
  <si>
    <t>Instandhaltung</t>
  </si>
  <si>
    <t>gnd:4031031-0</t>
  </si>
  <si>
    <t>Klein- und Mittelbetrieb</t>
  </si>
  <si>
    <t>gnd:4027148-1</t>
  </si>
  <si>
    <t>Instandhaltungskosten</t>
  </si>
  <si>
    <t>gnd:4523150-3</t>
  </si>
  <si>
    <t>Instandhaltungstheorie</t>
  </si>
  <si>
    <t>gnd:4078604-3</t>
  </si>
  <si>
    <t>Unternehmenskooperation</t>
  </si>
  <si>
    <t>3A101152354X</t>
  </si>
  <si>
    <t>Finite element computations in mechanics with R : a problem-centered programming approach</t>
  </si>
  <si>
    <t>(classificationName=linsearch:mapping)tec,(classificationName=linsearch:mapping)mat,(classificationName=linsearch:mapping)phy</t>
  </si>
  <si>
    <t>gnd:4017233-8</t>
  </si>
  <si>
    <t>Finite-Elemente-Methode</t>
  </si>
  <si>
    <t>gnd:4705956-4</t>
  </si>
  <si>
    <t>R Programm</t>
  </si>
  <si>
    <t>R (Programmiersprache)</t>
  </si>
  <si>
    <t>gnd:4038168-7</t>
  </si>
  <si>
    <t>Mechanik</t>
  </si>
  <si>
    <t>gnd:4188417-6</t>
  </si>
  <si>
    <t>Visualisierung</t>
  </si>
  <si>
    <t>gnd:1103156357</t>
  </si>
  <si>
    <t>Computational mechanics</t>
  </si>
  <si>
    <t>3A1652958894</t>
  </si>
  <si>
    <t>Sicherung des Schienenverkehrs : Grundlagen und Planung der Leit- und Sicherungstechnik</t>
  </si>
  <si>
    <t>(classificationName=linsearch:mapping)ver</t>
  </si>
  <si>
    <t>gnd:4052371-8</t>
  </si>
  <si>
    <t>Schienenverkehr</t>
  </si>
  <si>
    <t>gnd:4515524-0</t>
  </si>
  <si>
    <t>Eisenbahnsignalanlage</t>
  </si>
  <si>
    <t>gnd:4151928-0</t>
  </si>
  <si>
    <t>Elektronisches Stellwerk</t>
  </si>
  <si>
    <t>gnd:4191115-5</t>
  </si>
  <si>
    <t>Zugsicherung</t>
  </si>
  <si>
    <t>3A1794685650</t>
  </si>
  <si>
    <t>Robust distributed resource allocation for cellular vehicle-to-vehicle communication</t>
  </si>
  <si>
    <t>gnd:4279248-4</t>
  </si>
  <si>
    <t>MAC</t>
  </si>
  <si>
    <t>MAC-Protokoll</t>
  </si>
  <si>
    <t>gnd:4216130-7</t>
  </si>
  <si>
    <t>Funknetz</t>
  </si>
  <si>
    <t>gnd:4170280-3</t>
  </si>
  <si>
    <t>Mobilfunk</t>
  </si>
  <si>
    <t>gnd:1024622754</t>
  </si>
  <si>
    <t>Car-to-Car-Kommunikation</t>
  </si>
  <si>
    <t>Vehicle-to-Vehicle Communication</t>
  </si>
  <si>
    <t>Fahrzeug-zu-Fahrzeug-Kommunikation</t>
  </si>
  <si>
    <t>gnd:7524983-2</t>
  </si>
  <si>
    <t>VANET</t>
  </si>
  <si>
    <t>gnd:102679028X</t>
  </si>
  <si>
    <t>Long Term Evolution Advanced</t>
  </si>
  <si>
    <t>3A655491236</t>
  </si>
  <si>
    <t>Simulation und Optimierung des Notstopp-Manövers von Schiffen mit langsamlaufenden Zweitaktmotoren und Festpropellern</t>
  </si>
  <si>
    <t>gnd:4052385-8</t>
  </si>
  <si>
    <t>Schiff</t>
  </si>
  <si>
    <t>gnd:4068234-1</t>
  </si>
  <si>
    <t>Zweitaktmotor</t>
  </si>
  <si>
    <t>gnd:4002360-6</t>
  </si>
  <si>
    <t>Antrieb Technik</t>
  </si>
  <si>
    <t>Antrieb (Technik)</t>
  </si>
  <si>
    <t>Antrieb</t>
  </si>
  <si>
    <t>gnd:4135029-7</t>
  </si>
  <si>
    <t>Propeller</t>
  </si>
  <si>
    <t>Festpropeller</t>
  </si>
  <si>
    <t>gnd:4168847-8</t>
  </si>
  <si>
    <t>Manövrierfähigkeit</t>
  </si>
  <si>
    <t>Manövrierfähigkeit</t>
  </si>
  <si>
    <t>Manövrierverhalten</t>
  </si>
  <si>
    <t>gnd:4349630-1</t>
  </si>
  <si>
    <t>Abbremsen</t>
  </si>
  <si>
    <t>gnd:4138452-0</t>
  </si>
  <si>
    <t>Schiffspropeller</t>
  </si>
  <si>
    <t>3A837972051</t>
  </si>
  <si>
    <t>Autonomes Fahren : wo wir heute stehen und was noch zu tun ist</t>
  </si>
  <si>
    <t>gnd:7714938-5</t>
  </si>
  <si>
    <t>Autonomes Fahrzeug</t>
  </si>
  <si>
    <t>Autonomes Fahren</t>
  </si>
  <si>
    <t>gnd:4039785-3</t>
  </si>
  <si>
    <t>Mobilität</t>
  </si>
  <si>
    <t>Mobilität</t>
  </si>
  <si>
    <t>gnd:4059276-5</t>
  </si>
  <si>
    <t>Technologie</t>
  </si>
  <si>
    <t>gnd:4056783-7</t>
  </si>
  <si>
    <t>Stadtverkehr</t>
  </si>
  <si>
    <t>gnd:4146312-2</t>
  </si>
  <si>
    <t>Bordcomputer</t>
  </si>
  <si>
    <t>gnd:4062962-4</t>
  </si>
  <si>
    <t>Verkehrssicherheit</t>
  </si>
  <si>
    <t>gnd:4057931-1</t>
  </si>
  <si>
    <t>Straßenverkehr</t>
  </si>
  <si>
    <t>3A329564714</t>
  </si>
  <si>
    <t>Der Altonaer Bahnhof im Wandel der Zeiten</t>
  </si>
  <si>
    <t>(classificationName=linsearch:mapping)ver,(classificationName=linsearch:mapping)arc</t>
  </si>
  <si>
    <t>gnd:4056730-8</t>
  </si>
  <si>
    <t>Stadtentwicklung</t>
  </si>
  <si>
    <t>gnd:4129465-8</t>
  </si>
  <si>
    <t>Bahnhof</t>
  </si>
  <si>
    <t>3A1007389885</t>
  </si>
  <si>
    <t>Recent advancements in airborne radar signal processing : emerging research and opportunities</t>
  </si>
  <si>
    <t>(classificationName=linsearch:mapping)ver,(classificationName=linsearch:mapping)elt</t>
  </si>
  <si>
    <t>gnd:4054947-1</t>
  </si>
  <si>
    <t>Signalverarbeitung</t>
  </si>
  <si>
    <t>gnd:4273774-6</t>
  </si>
  <si>
    <t>Störsender</t>
  </si>
  <si>
    <t>Radio jamming</t>
  </si>
  <si>
    <t>Jamming</t>
  </si>
  <si>
    <t>gnd:4554780-4</t>
  </si>
  <si>
    <t>betrügen</t>
  </si>
  <si>
    <t>betrügen</t>
  </si>
  <si>
    <t>Spoofing</t>
  </si>
  <si>
    <t>gnd:4270420-0</t>
  </si>
  <si>
    <t>Wetterradar</t>
  </si>
  <si>
    <t>Luftfahrtradar</t>
  </si>
  <si>
    <t>gnd:4309079-5</t>
  </si>
  <si>
    <t>AWACS</t>
  </si>
  <si>
    <t>gnd:4834654-8</t>
  </si>
  <si>
    <t>Raum-Zeit-Signalverarbeitung</t>
  </si>
  <si>
    <t>gnd:4456131-3</t>
  </si>
  <si>
    <t>Bordradar</t>
  </si>
  <si>
    <t>gnd:4190792-9</t>
  </si>
  <si>
    <t>Zielerkennung</t>
  </si>
  <si>
    <t>gnd:4184333-2</t>
  </si>
  <si>
    <t>Täuschung (Militär)</t>
  </si>
  <si>
    <t>3A816991588</t>
  </si>
  <si>
    <t>Model-based engineering of an automotive adaptive exterior lighting system : realistic example specifications of behavioral requirements and functional design</t>
  </si>
  <si>
    <t>(classificationName=linsearch:mapping)ver,(classificationName=linsearch:mapping)inf,(classificationName=linsearch:mapping)elt</t>
  </si>
  <si>
    <t>gnd:4140467-1</t>
  </si>
  <si>
    <t>Kraftfahrzeugbeleuchtung</t>
  </si>
  <si>
    <t>gnd:4832365-2</t>
  </si>
  <si>
    <t>Modellgetriebene Entwicklung</t>
  </si>
  <si>
    <t>3A103107905X</t>
  </si>
  <si>
    <t>Sinn² - Die barrierefreie Zwei-Sinne-Fahrgastinformation : Ergebnisse des Forschungsprojekts : gefördert im Rahmen des Förderprogramms "Nachhaltig mobil: Wissenstransfer von der Forschung in die Praxis" des Ministeriums für Verkehr Baden-Württemberg</t>
  </si>
  <si>
    <t>(classificationName=linsearch:mapping)ver,(classificationName=linsearch:mapping)oek</t>
  </si>
  <si>
    <t>gnd:4806684-9</t>
  </si>
  <si>
    <t>Barrierefreiheit</t>
  </si>
  <si>
    <t>gnd:4043176-9</t>
  </si>
  <si>
    <t>Öffentlicher Personennahverkehr</t>
  </si>
  <si>
    <t>Öffentlicher Personennahverkehr</t>
  </si>
  <si>
    <t>gnd:4153550-9</t>
  </si>
  <si>
    <t>Fahrgastinformation</t>
  </si>
  <si>
    <t>gnd:4467581-1</t>
  </si>
  <si>
    <t>Verkehrsinformation</t>
  </si>
  <si>
    <t>gnd:4326464-5</t>
  </si>
  <si>
    <t>Nachhaltigkeit</t>
  </si>
  <si>
    <t>gnd:4180703-0</t>
  </si>
  <si>
    <t>Sehbehinderter Mensch</t>
  </si>
  <si>
    <t>gnd:4845922-7</t>
  </si>
  <si>
    <t>Smartphone</t>
  </si>
  <si>
    <t>gnd:7705206-7</t>
  </si>
  <si>
    <t>App (Programm)</t>
  </si>
  <si>
    <t>gnd:4140402-6</t>
  </si>
  <si>
    <t>Blinder Mensch</t>
  </si>
  <si>
    <t>gnd:4188683-5</t>
  </si>
  <si>
    <t>Vorlesen</t>
  </si>
  <si>
    <t>3A174803541X</t>
  </si>
  <si>
    <t>Framing im Kontext von Straßenbenutzungsgebühren : Beeinflussung der Akzeptanz und der Nutzungsabsicht kostenpflichtiger Straßeninfrastruktur zugunsten einer nachhaltigen Mobilität</t>
  </si>
  <si>
    <t>(classificationName=linsearch:mapping)ver,(classificationName=linsearch:mapping)pae</t>
  </si>
  <si>
    <t>gnd:4206779-0</t>
  </si>
  <si>
    <t>Straßenbenutzungsgebühr</t>
  </si>
  <si>
    <t>Straßenbenutzungsgebühr</t>
  </si>
  <si>
    <t>gnd:4743976-2</t>
  </si>
  <si>
    <t>Frame Journalismus</t>
  </si>
  <si>
    <t>Framing</t>
  </si>
  <si>
    <t>gnd:4187773-1</t>
  </si>
  <si>
    <t>Verhaltenssteuerung</t>
  </si>
  <si>
    <t>gnd:4000996-8</t>
  </si>
  <si>
    <t>Akzeptanz</t>
  </si>
  <si>
    <t>gnd:4005203-5</t>
  </si>
  <si>
    <t>Beeinflussung</t>
  </si>
  <si>
    <t>gnd:4062958-2</t>
  </si>
  <si>
    <t>Verkehrspsychologie</t>
  </si>
  <si>
    <t>gnd:4062987-9</t>
  </si>
  <si>
    <t>Verkehrsverhalten</t>
  </si>
  <si>
    <t>gnd:112484418X</t>
  </si>
  <si>
    <t>Framing-Effekt</t>
  </si>
  <si>
    <t>3A1670077489</t>
  </si>
  <si>
    <t>ICAF 2019 – Structural integrity in the age of additive manufacturing : proceedings of the 30th Symposium of the International Committee on Aeronautical Fatigue, June 2-7, 2019, Krakow, Poland</t>
  </si>
  <si>
    <t>(classificationName=linsearch:mapping)ver,(classificationName=linsearch:mapping)phy,(classificationName=linsearch:mapping)fer</t>
  </si>
  <si>
    <t>gnd:4036557-8</t>
  </si>
  <si>
    <t>Luftfahrt</t>
  </si>
  <si>
    <t>gnd:4048576-6</t>
  </si>
  <si>
    <t>Luft- und Raumfahrtindustrie</t>
  </si>
  <si>
    <t>gnd:4167056-5</t>
  </si>
  <si>
    <t>Lebensverlängerung</t>
  </si>
  <si>
    <t>Lebensverlängerung</t>
  </si>
  <si>
    <t>Lebensdauerverlängerung</t>
  </si>
  <si>
    <t>gnd:4295517-8</t>
  </si>
  <si>
    <t>Strukturelle Stabilität</t>
  </si>
  <si>
    <t>Strukturstabilität</t>
  </si>
  <si>
    <t>Strukturintegrität</t>
  </si>
  <si>
    <t>gnd:4036563-3</t>
  </si>
  <si>
    <t>Luftfahrzeugtechnik</t>
  </si>
  <si>
    <t>gnd:4389159-7</t>
  </si>
  <si>
    <t>Rapid Prototyping (Fertigung)</t>
  </si>
  <si>
    <t>gnd:4074631-8</t>
  </si>
  <si>
    <t>Materialermüdung</t>
  </si>
  <si>
    <t>0</t>
  </si>
  <si>
    <t>Rating</t>
  </si>
  <si>
    <t>FP0</t>
  </si>
  <si>
    <t>FP2</t>
  </si>
  <si>
    <t>OOV</t>
  </si>
  <si>
    <t>Error-Categories</t>
  </si>
  <si>
    <t>False Positives</t>
  </si>
  <si>
    <t>just wrong</t>
  </si>
  <si>
    <t>FP1</t>
  </si>
  <si>
    <t>FP, too general</t>
  </si>
  <si>
    <t>FP, yet relevant</t>
  </si>
  <si>
    <t>MEU</t>
  </si>
  <si>
    <t>Mapping Error, Concept unkown in the GND</t>
  </si>
  <si>
    <t>False Negatives</t>
  </si>
  <si>
    <t>FNC</t>
  </si>
  <si>
    <t>False Negative, but closely matched by other aspect</t>
  </si>
  <si>
    <t>False Negative, totally missed</t>
  </si>
  <si>
    <t>FNM</t>
  </si>
  <si>
    <t>True Positive</t>
  </si>
  <si>
    <t>TP</t>
  </si>
  <si>
    <t>when the system suggested precisely the subject term that was annotated in the gold standard</t>
  </si>
  <si>
    <t>Table Columns</t>
  </si>
  <si>
    <t>Record Identifier in the TIBKAT Collection</t>
  </si>
  <si>
    <t>Identifier of a GND subject term</t>
  </si>
  <si>
    <t>was the label part of gold standard</t>
  </si>
  <si>
    <t>was the label suggested by the system</t>
  </si>
  <si>
    <t>LLM produced relevance rating in the Rank stage</t>
  </si>
  <si>
    <t>Cosine similarity between columns term and candidate, accorduing to BGE-3 embedding model</t>
  </si>
  <si>
    <t>preferred label of a GND subject term</t>
  </si>
  <si>
    <t>preferred or alternate label of a GND subject term, that a candidate was mapped tp</t>
  </si>
  <si>
    <t>error_categories</t>
  </si>
  <si>
    <t>as explaioned above</t>
  </si>
  <si>
    <t>#</t>
  </si>
  <si>
    <t>Unfair FN, out of vocab for shared task</t>
  </si>
  <si>
    <t>True Positives</t>
  </si>
  <si>
    <t>mapping_related_error</t>
  </si>
  <si>
    <t>Category</t>
  </si>
  <si>
    <t>Count</t>
  </si>
  <si>
    <t>FP</t>
  </si>
  <si>
    <t>FN</t>
  </si>
  <si>
    <t>Sub-Categories of FP0</t>
  </si>
  <si>
    <t>MEA</t>
  </si>
  <si>
    <t>ambiguity in the GND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</si>
</sst>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3" borderId="0" xfId="0" applyFont="1" applyFill="1"/>
  </cellXfs>
  <cellStyles count="1">
    <cellStyle name="Standard" xfId="0" builtinId="0"/>
  </cellStyles>
  <dxfs count="21">
    <dxf>
      <numFmt numFmtId="0" formatCode="General"/>
      <alignment vertical="bottom" textRotation="0" wrapText="1" justifyLastLine="0" shrinkToFit="0" readingOrder="0"/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strike val="0"/>
      </font>
      <fill>
        <patternFill>
          <bgColor rgb="FF7030A0"/>
        </patternFill>
      </fill>
    </dxf>
    <dxf>
      <numFmt numFmtId="0" formatCode="General"/>
      <alignment vertical="bottom" textRotation="0" wrapText="1" justifyLastLine="0" shrinkToFit="0" readingOrder="0"/>
    </dxf>
    <dxf>
      <numFmt numFmtId="0" formatCode="General"/>
      <alignment vertical="bottom" textRotation="0" wrapText="1" justifyLastLine="0" shrinkToFit="0" readingOrder="0"/>
    </dxf>
    <dxf>
      <numFmt numFmtId="0" formatCode="General"/>
      <alignment vertical="bottom" textRotation="0" wrapText="1" justifyLastLine="0" shrinkToFit="0" readingOrder="0"/>
    </dxf>
    <dxf>
      <numFmt numFmtId="0" formatCode="General"/>
      <alignment vertical="bottom" textRotation="0" wrapText="1" justifyLastLine="0" shrinkToFit="0" readingOrder="0"/>
    </dxf>
    <dxf>
      <numFmt numFmtId="0" formatCode="General"/>
      <alignment vertical="bottom" textRotation="0" wrapText="1" justifyLastLine="0" shrinkToFit="0" readingOrder="0"/>
    </dxf>
    <dxf>
      <numFmt numFmtId="0" formatCode="General"/>
      <alignment vertical="bottom" textRotation="0" wrapText="1" justifyLastLine="0" shrinkToFit="0" readingOrder="0"/>
    </dxf>
    <dxf>
      <numFmt numFmtId="0" formatCode="General"/>
      <alignment vertical="bottom" textRotation="0" wrapText="1" justifyLastLine="0" shrinkToFit="0" readingOrder="0"/>
    </dxf>
    <dxf>
      <numFmt numFmtId="0" formatCode="General"/>
      <alignment vertical="bottom" textRotation="0" wrapText="1" justifyLastLine="0" shrinkToFit="0" readingOrder="0"/>
    </dxf>
    <dxf>
      <numFmt numFmtId="0" formatCode="General"/>
      <alignment vertical="bottom" textRotation="0" wrapText="1" justifyLastLine="0" shrinkToFit="0" readingOrder="0"/>
    </dxf>
    <dxf>
      <alignment horizontal="general" vertical="bottom" textRotation="0" wrapText="1" indent="0" justifyLastLine="0" shrinkToFit="0" readingOrder="0"/>
    </dxf>
    <dxf>
      <alignment vertical="bottom" textRotation="0" wrapText="1" justifyLastLine="0" shrinkToFit="0" readingOrder="0"/>
    </dxf>
    <dxf>
      <numFmt numFmtId="0" formatCode="General"/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alignment vertical="bottom" textRotation="0" wrapTex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le1" displayName="Tabelle1" ref="A1:Y273" totalsRowShown="0" headerRowDxfId="20">
  <autoFilter ref="A1:Y273"/>
  <tableColumns count="25">
    <tableColumn id="1" name="doc_id"/>
    <tableColumn id="2" name="doc_title" dataDxfId="19"/>
    <tableColumn id="3" name="doc_group"/>
    <tableColumn id="4" name="label_id"/>
    <tableColumn id="5" name="gold"/>
    <tableColumn id="6" name="suggested"/>
    <tableColumn id="7" name="qm_ratings"/>
    <tableColumn id="8" name="llm_relevance"/>
    <tableColumn id="9" name="cosine_similarity"/>
    <tableColumn id="10" name="label_text" dataDxfId="18"/>
    <tableColumn id="11" name="term" dataDxfId="17"/>
    <tableColumn id="12" name="candidate" dataDxfId="16"/>
    <tableColumn id="17" name="0" dataDxfId="15">
      <calculatedColumnFormula>IF(A2&lt;&gt;A1,M1 + 1, M1)</calculatedColumnFormula>
    </tableColumn>
    <tableColumn id="18" name="Rating" dataDxfId="14"/>
    <tableColumn id="23" name="mapping_related_error" dataDxfId="13"/>
    <tableColumn id="19" name="True Positives" dataDxfId="12">
      <calculatedColumnFormula>IF(AND(E2,F2),1,0)</calculatedColumnFormula>
    </tableColumn>
    <tableColumn id="20" name="False Positives" dataDxfId="11">
      <calculatedColumnFormula>IF(AND(NOT(E2),F2),1,0)</calculatedColumnFormula>
    </tableColumn>
    <tableColumn id="21" name="False Negatives" dataDxfId="10">
      <calculatedColumnFormula>IF(AND(E2,NOT(F2)),1,0)</calculatedColumnFormula>
    </tableColumn>
    <tableColumn id="14" name="FP0" dataDxfId="9">
      <calculatedColumnFormula>IF($N2="FP0", 1, 0)</calculatedColumnFormula>
    </tableColumn>
    <tableColumn id="15" name="FP1" dataDxfId="8">
      <calculatedColumnFormula>IF($N2="FP1", 1, 0)</calculatedColumnFormula>
    </tableColumn>
    <tableColumn id="16" name="FP2" dataDxfId="7">
      <calculatedColumnFormula>IF($N2="FP2", 1, 0)</calculatedColumnFormula>
    </tableColumn>
    <tableColumn id="22" name="FNM" dataDxfId="6">
      <calculatedColumnFormula>IF($N2="FNM", 1, 0)</calculatedColumnFormula>
    </tableColumn>
    <tableColumn id="24" name="FNC" dataDxfId="5">
      <calculatedColumnFormula>IF($N2="FNC", 1, 0)</calculatedColumnFormula>
    </tableColumn>
    <tableColumn id="25" name="MEU" dataDxfId="4">
      <calculatedColumnFormula>IF($O2="MEU", 1, 0)</calculatedColumnFormula>
    </tableColumn>
    <tableColumn id="26" name="MEA" dataDxfId="0">
      <calculatedColumnFormula>IF($O2="MEA", 1, 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74"/>
  <sheetViews>
    <sheetView topLeftCell="K269" zoomScale="70" zoomScaleNormal="70" workbookViewId="0">
      <selection activeCell="AA275" sqref="AA275"/>
    </sheetView>
  </sheetViews>
  <sheetFormatPr baseColWidth="10" defaultColWidth="9.1796875" defaultRowHeight="14.5" x14ac:dyDescent="0.35"/>
  <cols>
    <col min="1" max="1" width="15.453125" customWidth="1"/>
    <col min="2" max="2" width="43" style="3" customWidth="1"/>
    <col min="3" max="3" width="39.1796875" hidden="1" customWidth="1"/>
    <col min="4" max="4" width="16.81640625" customWidth="1"/>
    <col min="6" max="6" width="11.81640625" customWidth="1"/>
    <col min="7" max="7" width="8.6328125" customWidth="1"/>
    <col min="8" max="8" width="6.81640625" customWidth="1"/>
    <col min="9" max="9" width="17.81640625" customWidth="1"/>
    <col min="10" max="10" width="20.26953125" style="3" customWidth="1"/>
    <col min="11" max="11" width="17" style="3" customWidth="1"/>
    <col min="12" max="12" width="20.453125" style="3" customWidth="1"/>
    <col min="13" max="13" width="9.1796875" hidden="1" customWidth="1"/>
    <col min="14" max="14" width="13.54296875" customWidth="1"/>
    <col min="15" max="15" width="15.1796875" style="5" customWidth="1"/>
    <col min="16" max="16" width="12.81640625" customWidth="1"/>
    <col min="17" max="17" width="13.81640625" customWidth="1"/>
    <col min="18" max="18" width="13.1796875" customWidth="1"/>
    <col min="19" max="24" width="9.1796875" customWidth="1"/>
    <col min="25" max="25" width="9.08984375" customWidth="1"/>
  </cols>
  <sheetData>
    <row r="1" spans="1:25" s="1" customForma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701</v>
      </c>
      <c r="N1" s="1" t="s">
        <v>702</v>
      </c>
      <c r="O1" s="6" t="s">
        <v>736</v>
      </c>
      <c r="P1" s="6" t="s">
        <v>735</v>
      </c>
      <c r="Q1" s="6" t="s">
        <v>707</v>
      </c>
      <c r="R1" s="6" t="s">
        <v>714</v>
      </c>
      <c r="S1" s="6" t="s">
        <v>703</v>
      </c>
      <c r="T1" s="6" t="s">
        <v>709</v>
      </c>
      <c r="U1" s="6" t="s">
        <v>704</v>
      </c>
      <c r="V1" s="6" t="s">
        <v>718</v>
      </c>
      <c r="W1" s="6" t="s">
        <v>715</v>
      </c>
      <c r="X1" s="6" t="s">
        <v>712</v>
      </c>
      <c r="Y1" s="6" t="s">
        <v>742</v>
      </c>
    </row>
    <row r="2" spans="1:25" ht="43.5" x14ac:dyDescent="0.35">
      <c r="A2" t="s">
        <v>12</v>
      </c>
      <c r="B2" s="3" t="s">
        <v>13</v>
      </c>
      <c r="C2" t="s">
        <v>14</v>
      </c>
      <c r="D2" t="s">
        <v>15</v>
      </c>
      <c r="E2" t="b">
        <v>0</v>
      </c>
      <c r="F2" t="b">
        <v>1</v>
      </c>
      <c r="G2" t="s">
        <v>16</v>
      </c>
      <c r="H2">
        <v>0.9</v>
      </c>
      <c r="I2">
        <v>0.99999138383630204</v>
      </c>
      <c r="J2" s="3" t="s">
        <v>17</v>
      </c>
      <c r="K2" s="3" t="s">
        <v>18</v>
      </c>
      <c r="L2" s="3" t="s">
        <v>18</v>
      </c>
      <c r="M2" s="3">
        <f t="shared" ref="M2:M65" si="0">IF(A2&lt;&gt;A1,M1 + 1, M1)</f>
        <v>1</v>
      </c>
      <c r="N2" s="3" t="s">
        <v>703</v>
      </c>
      <c r="O2" s="3"/>
      <c r="P2" s="3">
        <f t="shared" ref="P2:P58" si="1">IF(AND(E2,F2),1,0)</f>
        <v>0</v>
      </c>
      <c r="Q2" s="3">
        <f t="shared" ref="Q2:Q58" si="2">IF(AND(NOT(E2),F2),1,0)</f>
        <v>1</v>
      </c>
      <c r="R2" s="4">
        <f t="shared" ref="R2:R58" si="3">IF(AND(E2,NOT(F2)),1,0)</f>
        <v>0</v>
      </c>
      <c r="S2" s="4">
        <f>IF($N2="FP0", 1, 0)</f>
        <v>1</v>
      </c>
      <c r="T2" s="4">
        <f>IF($N2="FP1", 1, 0)</f>
        <v>0</v>
      </c>
      <c r="U2" s="4">
        <f>IF($N2="FP2", 1, 0)</f>
        <v>0</v>
      </c>
      <c r="V2" s="4">
        <f>IF($N2="FNM", 1, 0)</f>
        <v>0</v>
      </c>
      <c r="W2" s="4">
        <f>IF($N2="FNC", 1, 0)</f>
        <v>0</v>
      </c>
      <c r="X2" s="4">
        <f>IF($O2="MEU", 1, 0)</f>
        <v>0</v>
      </c>
      <c r="Y2" s="4">
        <f t="shared" ref="Y2:Y65" si="4">IF($O2="MEA", 1, 0)</f>
        <v>0</v>
      </c>
    </row>
    <row r="3" spans="1:25" ht="43.5" x14ac:dyDescent="0.35">
      <c r="A3" t="s">
        <v>12</v>
      </c>
      <c r="B3" s="3" t="s">
        <v>13</v>
      </c>
      <c r="C3" t="s">
        <v>14</v>
      </c>
      <c r="D3" t="s">
        <v>19</v>
      </c>
      <c r="E3" t="b">
        <v>1</v>
      </c>
      <c r="F3" t="b">
        <v>1</v>
      </c>
      <c r="G3" t="s">
        <v>20</v>
      </c>
      <c r="H3">
        <v>0.9</v>
      </c>
      <c r="I3">
        <v>0.99999142758811277</v>
      </c>
      <c r="J3" s="3" t="s">
        <v>21</v>
      </c>
      <c r="K3" s="3" t="s">
        <v>21</v>
      </c>
      <c r="L3" s="3" t="s">
        <v>21</v>
      </c>
      <c r="M3" s="3">
        <f t="shared" si="0"/>
        <v>1</v>
      </c>
      <c r="N3" s="3" t="s">
        <v>720</v>
      </c>
      <c r="O3" s="3"/>
      <c r="P3" s="3">
        <f t="shared" si="1"/>
        <v>1</v>
      </c>
      <c r="Q3" s="3">
        <f t="shared" si="2"/>
        <v>0</v>
      </c>
      <c r="R3" s="4">
        <f t="shared" si="3"/>
        <v>0</v>
      </c>
      <c r="S3" s="4">
        <f t="shared" ref="S3:S66" si="5">IF($N3="FP0", 1, 0)</f>
        <v>0</v>
      </c>
      <c r="T3" s="4">
        <f t="shared" ref="T3:T66" si="6">IF($N3="FP1", 1, 0)</f>
        <v>0</v>
      </c>
      <c r="U3" s="4">
        <f t="shared" ref="U3:U66" si="7">IF($N3="FP2", 1, 0)</f>
        <v>0</v>
      </c>
      <c r="V3" s="4">
        <f t="shared" ref="V3:V66" si="8">IF($N3="FNM", 1, 0)</f>
        <v>0</v>
      </c>
      <c r="W3" s="4">
        <f t="shared" ref="W3:W66" si="9">IF($N3="FNC", 1, 0)</f>
        <v>0</v>
      </c>
      <c r="X3" s="4">
        <f t="shared" ref="X3:X66" si="10">IF($O3="MEU", 1, 0)</f>
        <v>0</v>
      </c>
      <c r="Y3" s="4">
        <f t="shared" si="4"/>
        <v>0</v>
      </c>
    </row>
    <row r="4" spans="1:25" ht="43.5" x14ac:dyDescent="0.35">
      <c r="A4" t="s">
        <v>12</v>
      </c>
      <c r="B4" s="3" t="s">
        <v>13</v>
      </c>
      <c r="C4" t="s">
        <v>14</v>
      </c>
      <c r="D4" t="s">
        <v>22</v>
      </c>
      <c r="E4" t="b">
        <v>1</v>
      </c>
      <c r="F4" s="5" t="b">
        <v>1</v>
      </c>
      <c r="G4" t="s">
        <v>20</v>
      </c>
      <c r="J4" s="3" t="s">
        <v>23</v>
      </c>
      <c r="M4" s="3">
        <f t="shared" si="0"/>
        <v>1</v>
      </c>
      <c r="N4" s="3" t="s">
        <v>720</v>
      </c>
      <c r="O4" s="3"/>
      <c r="P4" s="3">
        <f t="shared" si="1"/>
        <v>1</v>
      </c>
      <c r="Q4" s="3">
        <f t="shared" si="2"/>
        <v>0</v>
      </c>
      <c r="R4" s="4">
        <f t="shared" si="3"/>
        <v>0</v>
      </c>
      <c r="S4" s="4">
        <f t="shared" si="5"/>
        <v>0</v>
      </c>
      <c r="T4" s="4">
        <f t="shared" si="6"/>
        <v>0</v>
      </c>
      <c r="U4" s="4">
        <f t="shared" si="7"/>
        <v>0</v>
      </c>
      <c r="V4" s="4">
        <f t="shared" si="8"/>
        <v>0</v>
      </c>
      <c r="W4" s="4">
        <f t="shared" si="9"/>
        <v>0</v>
      </c>
      <c r="X4" s="4">
        <f t="shared" si="10"/>
        <v>0</v>
      </c>
      <c r="Y4" s="4">
        <f t="shared" si="4"/>
        <v>0</v>
      </c>
    </row>
    <row r="5" spans="1:25" ht="43.5" x14ac:dyDescent="0.35">
      <c r="A5" t="s">
        <v>12</v>
      </c>
      <c r="B5" s="3" t="s">
        <v>13</v>
      </c>
      <c r="C5" t="s">
        <v>14</v>
      </c>
      <c r="D5" t="s">
        <v>24</v>
      </c>
      <c r="E5" t="b">
        <v>0</v>
      </c>
      <c r="F5" t="b">
        <v>1</v>
      </c>
      <c r="G5" t="s">
        <v>20</v>
      </c>
      <c r="H5">
        <v>0.9</v>
      </c>
      <c r="I5">
        <v>0.99998865957091965</v>
      </c>
      <c r="J5" s="3" t="s">
        <v>25</v>
      </c>
      <c r="K5" s="3" t="s">
        <v>26</v>
      </c>
      <c r="L5" s="3" t="s">
        <v>26</v>
      </c>
      <c r="M5" s="3">
        <f t="shared" si="0"/>
        <v>1</v>
      </c>
      <c r="N5" s="3" t="s">
        <v>704</v>
      </c>
      <c r="O5" s="3"/>
      <c r="P5" s="3">
        <f t="shared" si="1"/>
        <v>0</v>
      </c>
      <c r="Q5" s="3">
        <f t="shared" si="2"/>
        <v>1</v>
      </c>
      <c r="R5" s="4">
        <f t="shared" si="3"/>
        <v>0</v>
      </c>
      <c r="S5" s="4">
        <f t="shared" si="5"/>
        <v>0</v>
      </c>
      <c r="T5" s="4">
        <f t="shared" si="6"/>
        <v>0</v>
      </c>
      <c r="U5" s="4">
        <f t="shared" si="7"/>
        <v>1</v>
      </c>
      <c r="V5" s="4">
        <f t="shared" si="8"/>
        <v>0</v>
      </c>
      <c r="W5" s="4">
        <f t="shared" si="9"/>
        <v>0</v>
      </c>
      <c r="X5" s="4">
        <f t="shared" si="10"/>
        <v>0</v>
      </c>
      <c r="Y5" s="4">
        <f t="shared" si="4"/>
        <v>0</v>
      </c>
    </row>
    <row r="6" spans="1:25" ht="43.5" x14ac:dyDescent="0.35">
      <c r="A6" t="s">
        <v>12</v>
      </c>
      <c r="B6" s="3" t="s">
        <v>13</v>
      </c>
      <c r="C6" t="s">
        <v>14</v>
      </c>
      <c r="D6" t="s">
        <v>27</v>
      </c>
      <c r="E6" t="b">
        <v>0</v>
      </c>
      <c r="F6" t="b">
        <v>1</v>
      </c>
      <c r="G6" t="s">
        <v>16</v>
      </c>
      <c r="H6">
        <v>0.9</v>
      </c>
      <c r="I6">
        <v>0.99999048766157617</v>
      </c>
      <c r="J6" s="3" t="s">
        <v>28</v>
      </c>
      <c r="K6" s="3" t="s">
        <v>28</v>
      </c>
      <c r="L6" s="3" t="s">
        <v>28</v>
      </c>
      <c r="M6" s="3">
        <f t="shared" si="0"/>
        <v>1</v>
      </c>
      <c r="N6" s="3" t="s">
        <v>703</v>
      </c>
      <c r="O6" s="3"/>
      <c r="P6" s="3">
        <f t="shared" si="1"/>
        <v>0</v>
      </c>
      <c r="Q6" s="3">
        <f t="shared" si="2"/>
        <v>1</v>
      </c>
      <c r="R6" s="4">
        <f t="shared" si="3"/>
        <v>0</v>
      </c>
      <c r="S6" s="4">
        <f t="shared" si="5"/>
        <v>1</v>
      </c>
      <c r="T6" s="4">
        <f t="shared" si="6"/>
        <v>0</v>
      </c>
      <c r="U6" s="4">
        <f t="shared" si="7"/>
        <v>0</v>
      </c>
      <c r="V6" s="4">
        <f t="shared" si="8"/>
        <v>0</v>
      </c>
      <c r="W6" s="4">
        <f t="shared" si="9"/>
        <v>0</v>
      </c>
      <c r="X6" s="4">
        <f t="shared" si="10"/>
        <v>0</v>
      </c>
      <c r="Y6" s="4">
        <f t="shared" si="4"/>
        <v>0</v>
      </c>
    </row>
    <row r="7" spans="1:25" ht="43.5" x14ac:dyDescent="0.35">
      <c r="A7" t="s">
        <v>12</v>
      </c>
      <c r="B7" s="3" t="s">
        <v>13</v>
      </c>
      <c r="C7" t="s">
        <v>14</v>
      </c>
      <c r="D7" t="s">
        <v>29</v>
      </c>
      <c r="E7" t="b">
        <v>1</v>
      </c>
      <c r="F7" t="b">
        <v>0</v>
      </c>
      <c r="J7" s="3" t="s">
        <v>30</v>
      </c>
      <c r="M7" s="3">
        <f t="shared" si="0"/>
        <v>1</v>
      </c>
      <c r="N7" s="3" t="s">
        <v>718</v>
      </c>
      <c r="O7" s="3"/>
      <c r="P7" s="3">
        <f t="shared" si="1"/>
        <v>0</v>
      </c>
      <c r="Q7" s="3">
        <f t="shared" si="2"/>
        <v>0</v>
      </c>
      <c r="R7" s="4">
        <f t="shared" si="3"/>
        <v>1</v>
      </c>
      <c r="S7" s="4">
        <f t="shared" si="5"/>
        <v>0</v>
      </c>
      <c r="T7" s="4">
        <f t="shared" si="6"/>
        <v>0</v>
      </c>
      <c r="U7" s="4">
        <f t="shared" si="7"/>
        <v>0</v>
      </c>
      <c r="V7" s="4">
        <f t="shared" si="8"/>
        <v>1</v>
      </c>
      <c r="W7" s="4">
        <f t="shared" si="9"/>
        <v>0</v>
      </c>
      <c r="X7" s="4">
        <f t="shared" si="10"/>
        <v>0</v>
      </c>
      <c r="Y7" s="4">
        <f t="shared" si="4"/>
        <v>0</v>
      </c>
    </row>
    <row r="8" spans="1:25" ht="29" x14ac:dyDescent="0.35">
      <c r="A8" t="s">
        <v>31</v>
      </c>
      <c r="B8" s="3" t="s">
        <v>32</v>
      </c>
      <c r="C8" t="s">
        <v>14</v>
      </c>
      <c r="D8" t="s">
        <v>33</v>
      </c>
      <c r="E8" t="b">
        <v>1</v>
      </c>
      <c r="F8" t="b">
        <v>1</v>
      </c>
      <c r="G8" t="s">
        <v>20</v>
      </c>
      <c r="H8">
        <v>1</v>
      </c>
      <c r="I8">
        <v>0.99999236351829557</v>
      </c>
      <c r="J8" s="3" t="s">
        <v>34</v>
      </c>
      <c r="K8" s="3" t="s">
        <v>34</v>
      </c>
      <c r="L8" s="3" t="s">
        <v>34</v>
      </c>
      <c r="M8" s="3">
        <f t="shared" si="0"/>
        <v>2</v>
      </c>
      <c r="N8" s="3" t="s">
        <v>720</v>
      </c>
      <c r="O8" s="3"/>
      <c r="P8" s="3">
        <f t="shared" si="1"/>
        <v>1</v>
      </c>
      <c r="Q8" s="3">
        <f t="shared" si="2"/>
        <v>0</v>
      </c>
      <c r="R8" s="4">
        <f t="shared" si="3"/>
        <v>0</v>
      </c>
      <c r="S8" s="4">
        <f t="shared" si="5"/>
        <v>0</v>
      </c>
      <c r="T8" s="4">
        <f t="shared" si="6"/>
        <v>0</v>
      </c>
      <c r="U8" s="4">
        <f t="shared" si="7"/>
        <v>0</v>
      </c>
      <c r="V8" s="4">
        <f t="shared" si="8"/>
        <v>0</v>
      </c>
      <c r="W8" s="4">
        <f t="shared" si="9"/>
        <v>0</v>
      </c>
      <c r="X8" s="4">
        <f t="shared" si="10"/>
        <v>0</v>
      </c>
      <c r="Y8" s="4">
        <f t="shared" si="4"/>
        <v>0</v>
      </c>
    </row>
    <row r="9" spans="1:25" ht="29" x14ac:dyDescent="0.35">
      <c r="A9" t="s">
        <v>31</v>
      </c>
      <c r="B9" s="3" t="s">
        <v>32</v>
      </c>
      <c r="C9" t="s">
        <v>14</v>
      </c>
      <c r="D9" t="s">
        <v>35</v>
      </c>
      <c r="E9" t="b">
        <v>0</v>
      </c>
      <c r="F9" t="b">
        <v>1</v>
      </c>
      <c r="G9" t="s">
        <v>36</v>
      </c>
      <c r="H9">
        <v>1</v>
      </c>
      <c r="I9">
        <v>0.99999279846518163</v>
      </c>
      <c r="J9" s="3" t="s">
        <v>37</v>
      </c>
      <c r="K9" s="3" t="s">
        <v>37</v>
      </c>
      <c r="L9" s="3" t="s">
        <v>37</v>
      </c>
      <c r="M9" s="3">
        <f t="shared" si="0"/>
        <v>2</v>
      </c>
      <c r="N9" s="3" t="s">
        <v>709</v>
      </c>
      <c r="O9" s="3"/>
      <c r="P9" s="3">
        <f t="shared" si="1"/>
        <v>0</v>
      </c>
      <c r="Q9" s="3">
        <f t="shared" si="2"/>
        <v>1</v>
      </c>
      <c r="R9" s="4">
        <f t="shared" si="3"/>
        <v>0</v>
      </c>
      <c r="S9" s="4">
        <f t="shared" si="5"/>
        <v>0</v>
      </c>
      <c r="T9" s="4">
        <f t="shared" si="6"/>
        <v>1</v>
      </c>
      <c r="U9" s="4">
        <f t="shared" si="7"/>
        <v>0</v>
      </c>
      <c r="V9" s="4">
        <f t="shared" si="8"/>
        <v>0</v>
      </c>
      <c r="W9" s="4">
        <f t="shared" si="9"/>
        <v>0</v>
      </c>
      <c r="X9" s="4">
        <f t="shared" si="10"/>
        <v>0</v>
      </c>
      <c r="Y9" s="4">
        <f t="shared" si="4"/>
        <v>0</v>
      </c>
    </row>
    <row r="10" spans="1:25" ht="29" x14ac:dyDescent="0.35">
      <c r="A10" t="s">
        <v>31</v>
      </c>
      <c r="B10" s="3" t="s">
        <v>32</v>
      </c>
      <c r="C10" t="s">
        <v>14</v>
      </c>
      <c r="D10" t="s">
        <v>38</v>
      </c>
      <c r="E10" t="b">
        <v>0</v>
      </c>
      <c r="F10" t="b">
        <v>1</v>
      </c>
      <c r="G10" t="s">
        <v>16</v>
      </c>
      <c r="H10">
        <v>0.9</v>
      </c>
      <c r="I10">
        <v>0.9999902867115662</v>
      </c>
      <c r="J10" s="3" t="s">
        <v>39</v>
      </c>
      <c r="K10" s="3" t="s">
        <v>39</v>
      </c>
      <c r="L10" s="3" t="s">
        <v>39</v>
      </c>
      <c r="M10" s="3">
        <f t="shared" si="0"/>
        <v>2</v>
      </c>
      <c r="N10" s="3" t="s">
        <v>703</v>
      </c>
      <c r="O10" s="3"/>
      <c r="P10" s="3">
        <f t="shared" si="1"/>
        <v>0</v>
      </c>
      <c r="Q10" s="3">
        <f t="shared" si="2"/>
        <v>1</v>
      </c>
      <c r="R10" s="4">
        <f t="shared" si="3"/>
        <v>0</v>
      </c>
      <c r="S10" s="4">
        <f t="shared" si="5"/>
        <v>1</v>
      </c>
      <c r="T10" s="4">
        <f t="shared" si="6"/>
        <v>0</v>
      </c>
      <c r="U10" s="4">
        <f t="shared" si="7"/>
        <v>0</v>
      </c>
      <c r="V10" s="4">
        <f t="shared" si="8"/>
        <v>0</v>
      </c>
      <c r="W10" s="4">
        <f t="shared" si="9"/>
        <v>0</v>
      </c>
      <c r="X10" s="4">
        <f t="shared" si="10"/>
        <v>0</v>
      </c>
      <c r="Y10" s="4">
        <f t="shared" si="4"/>
        <v>0</v>
      </c>
    </row>
    <row r="11" spans="1:25" ht="29" x14ac:dyDescent="0.35">
      <c r="A11" t="s">
        <v>31</v>
      </c>
      <c r="B11" s="3" t="s">
        <v>32</v>
      </c>
      <c r="C11" t="s">
        <v>14</v>
      </c>
      <c r="D11" t="s">
        <v>40</v>
      </c>
      <c r="E11" t="b">
        <v>1</v>
      </c>
      <c r="F11" t="b">
        <v>1</v>
      </c>
      <c r="G11" t="s">
        <v>20</v>
      </c>
      <c r="H11">
        <v>0.8</v>
      </c>
      <c r="I11">
        <v>0.99999104399746397</v>
      </c>
      <c r="J11" s="3" t="s">
        <v>41</v>
      </c>
      <c r="K11" s="3" t="s">
        <v>41</v>
      </c>
      <c r="L11" s="3" t="s">
        <v>41</v>
      </c>
      <c r="M11" s="3">
        <f t="shared" si="0"/>
        <v>2</v>
      </c>
      <c r="N11" s="3" t="s">
        <v>720</v>
      </c>
      <c r="O11" s="3"/>
      <c r="P11" s="3">
        <f t="shared" si="1"/>
        <v>1</v>
      </c>
      <c r="Q11" s="3">
        <f t="shared" si="2"/>
        <v>0</v>
      </c>
      <c r="R11" s="4">
        <f t="shared" si="3"/>
        <v>0</v>
      </c>
      <c r="S11" s="4">
        <f t="shared" si="5"/>
        <v>0</v>
      </c>
      <c r="T11" s="4">
        <f t="shared" si="6"/>
        <v>0</v>
      </c>
      <c r="U11" s="4">
        <f t="shared" si="7"/>
        <v>0</v>
      </c>
      <c r="V11" s="4">
        <f t="shared" si="8"/>
        <v>0</v>
      </c>
      <c r="W11" s="4">
        <f t="shared" si="9"/>
        <v>0</v>
      </c>
      <c r="X11" s="4">
        <f t="shared" si="10"/>
        <v>0</v>
      </c>
      <c r="Y11" s="4">
        <f t="shared" si="4"/>
        <v>0</v>
      </c>
    </row>
    <row r="12" spans="1:25" ht="29" x14ac:dyDescent="0.35">
      <c r="A12" t="s">
        <v>31</v>
      </c>
      <c r="B12" s="3" t="s">
        <v>32</v>
      </c>
      <c r="C12" t="s">
        <v>14</v>
      </c>
      <c r="D12" t="s">
        <v>42</v>
      </c>
      <c r="E12" t="b">
        <v>1</v>
      </c>
      <c r="F12" t="b">
        <v>0</v>
      </c>
      <c r="J12" s="3" t="s">
        <v>43</v>
      </c>
      <c r="M12" s="3">
        <f t="shared" si="0"/>
        <v>2</v>
      </c>
      <c r="N12" s="3" t="s">
        <v>718</v>
      </c>
      <c r="O12" s="3"/>
      <c r="P12" s="3">
        <f t="shared" si="1"/>
        <v>0</v>
      </c>
      <c r="Q12" s="3">
        <f t="shared" si="2"/>
        <v>0</v>
      </c>
      <c r="R12" s="4">
        <f t="shared" si="3"/>
        <v>1</v>
      </c>
      <c r="S12" s="4">
        <f t="shared" si="5"/>
        <v>0</v>
      </c>
      <c r="T12" s="4">
        <f t="shared" si="6"/>
        <v>0</v>
      </c>
      <c r="U12" s="4">
        <f t="shared" si="7"/>
        <v>0</v>
      </c>
      <c r="V12" s="4">
        <f t="shared" si="8"/>
        <v>1</v>
      </c>
      <c r="W12" s="4">
        <f t="shared" si="9"/>
        <v>0</v>
      </c>
      <c r="X12" s="4">
        <f t="shared" si="10"/>
        <v>0</v>
      </c>
      <c r="Y12" s="4">
        <f t="shared" si="4"/>
        <v>0</v>
      </c>
    </row>
    <row r="13" spans="1:25" ht="29" x14ac:dyDescent="0.35">
      <c r="A13" t="s">
        <v>31</v>
      </c>
      <c r="B13" s="3" t="s">
        <v>32</v>
      </c>
      <c r="C13" t="s">
        <v>14</v>
      </c>
      <c r="D13" t="s">
        <v>44</v>
      </c>
      <c r="E13" t="b">
        <v>1</v>
      </c>
      <c r="F13" t="b">
        <v>0</v>
      </c>
      <c r="J13" s="3" t="s">
        <v>45</v>
      </c>
      <c r="M13" s="3">
        <f t="shared" si="0"/>
        <v>2</v>
      </c>
      <c r="N13" s="3" t="s">
        <v>718</v>
      </c>
      <c r="O13" s="3"/>
      <c r="P13" s="3">
        <f t="shared" si="1"/>
        <v>0</v>
      </c>
      <c r="Q13" s="3">
        <f t="shared" si="2"/>
        <v>0</v>
      </c>
      <c r="R13" s="4">
        <f t="shared" si="3"/>
        <v>1</v>
      </c>
      <c r="S13" s="4">
        <f t="shared" si="5"/>
        <v>0</v>
      </c>
      <c r="T13" s="4">
        <f t="shared" si="6"/>
        <v>0</v>
      </c>
      <c r="U13" s="4">
        <f t="shared" si="7"/>
        <v>0</v>
      </c>
      <c r="V13" s="4">
        <f t="shared" si="8"/>
        <v>1</v>
      </c>
      <c r="W13" s="4">
        <f t="shared" si="9"/>
        <v>0</v>
      </c>
      <c r="X13" s="4">
        <f t="shared" si="10"/>
        <v>0</v>
      </c>
      <c r="Y13" s="4">
        <f t="shared" si="4"/>
        <v>0</v>
      </c>
    </row>
    <row r="14" spans="1:25" ht="29" x14ac:dyDescent="0.35">
      <c r="A14" t="s">
        <v>46</v>
      </c>
      <c r="B14" s="3" t="s">
        <v>47</v>
      </c>
      <c r="C14" t="s">
        <v>14</v>
      </c>
      <c r="D14" t="s">
        <v>48</v>
      </c>
      <c r="E14" t="b">
        <v>0</v>
      </c>
      <c r="F14" t="b">
        <v>1</v>
      </c>
      <c r="G14" t="s">
        <v>20</v>
      </c>
      <c r="H14">
        <v>1</v>
      </c>
      <c r="I14">
        <v>0.99998303610649142</v>
      </c>
      <c r="J14" s="3" t="s">
        <v>49</v>
      </c>
      <c r="K14" s="3" t="s">
        <v>49</v>
      </c>
      <c r="L14" s="3" t="s">
        <v>49</v>
      </c>
      <c r="M14" s="3">
        <f t="shared" si="0"/>
        <v>3</v>
      </c>
      <c r="N14" s="3" t="s">
        <v>704</v>
      </c>
      <c r="O14" s="3"/>
      <c r="P14" s="3">
        <f t="shared" si="1"/>
        <v>0</v>
      </c>
      <c r="Q14" s="3">
        <f t="shared" si="2"/>
        <v>1</v>
      </c>
      <c r="R14" s="4">
        <f t="shared" si="3"/>
        <v>0</v>
      </c>
      <c r="S14" s="4">
        <f t="shared" si="5"/>
        <v>0</v>
      </c>
      <c r="T14" s="4">
        <f t="shared" si="6"/>
        <v>0</v>
      </c>
      <c r="U14" s="4">
        <f t="shared" si="7"/>
        <v>1</v>
      </c>
      <c r="V14" s="4">
        <f t="shared" si="8"/>
        <v>0</v>
      </c>
      <c r="W14" s="4">
        <f t="shared" si="9"/>
        <v>0</v>
      </c>
      <c r="X14" s="4">
        <f t="shared" si="10"/>
        <v>0</v>
      </c>
      <c r="Y14" s="4">
        <f t="shared" si="4"/>
        <v>0</v>
      </c>
    </row>
    <row r="15" spans="1:25" ht="29" x14ac:dyDescent="0.35">
      <c r="A15" t="s">
        <v>46</v>
      </c>
      <c r="B15" s="3" t="s">
        <v>47</v>
      </c>
      <c r="C15" t="s">
        <v>14</v>
      </c>
      <c r="D15" t="s">
        <v>50</v>
      </c>
      <c r="E15" t="b">
        <v>0</v>
      </c>
      <c r="F15" t="b">
        <v>1</v>
      </c>
      <c r="G15" t="s">
        <v>51</v>
      </c>
      <c r="H15">
        <v>0.9</v>
      </c>
      <c r="I15">
        <v>0.99999173023457721</v>
      </c>
      <c r="J15" s="3" t="s">
        <v>52</v>
      </c>
      <c r="K15" s="3" t="s">
        <v>52</v>
      </c>
      <c r="L15" s="3" t="s">
        <v>52</v>
      </c>
      <c r="M15" s="3">
        <f t="shared" si="0"/>
        <v>3</v>
      </c>
      <c r="N15" s="3" t="s">
        <v>703</v>
      </c>
      <c r="O15" s="3"/>
      <c r="P15" s="3">
        <f t="shared" si="1"/>
        <v>0</v>
      </c>
      <c r="Q15" s="3">
        <f t="shared" si="2"/>
        <v>1</v>
      </c>
      <c r="R15" s="4">
        <f t="shared" si="3"/>
        <v>0</v>
      </c>
      <c r="S15" s="4">
        <f t="shared" si="5"/>
        <v>1</v>
      </c>
      <c r="T15" s="4">
        <f t="shared" si="6"/>
        <v>0</v>
      </c>
      <c r="U15" s="4">
        <f t="shared" si="7"/>
        <v>0</v>
      </c>
      <c r="V15" s="4">
        <f t="shared" si="8"/>
        <v>0</v>
      </c>
      <c r="W15" s="4">
        <f t="shared" si="9"/>
        <v>0</v>
      </c>
      <c r="X15" s="4">
        <f t="shared" si="10"/>
        <v>0</v>
      </c>
      <c r="Y15" s="4">
        <f t="shared" si="4"/>
        <v>0</v>
      </c>
    </row>
    <row r="16" spans="1:25" ht="29" x14ac:dyDescent="0.35">
      <c r="A16" t="s">
        <v>46</v>
      </c>
      <c r="B16" s="3" t="s">
        <v>47</v>
      </c>
      <c r="C16" t="s">
        <v>14</v>
      </c>
      <c r="D16" t="s">
        <v>53</v>
      </c>
      <c r="E16" t="b">
        <v>0</v>
      </c>
      <c r="F16" t="b">
        <v>1</v>
      </c>
      <c r="G16" t="s">
        <v>20</v>
      </c>
      <c r="H16">
        <v>0.9</v>
      </c>
      <c r="I16">
        <v>0.99999160947315824</v>
      </c>
      <c r="J16" s="3" t="s">
        <v>54</v>
      </c>
      <c r="K16" s="3" t="s">
        <v>55</v>
      </c>
      <c r="L16" s="3" t="s">
        <v>55</v>
      </c>
      <c r="M16" s="3">
        <f t="shared" si="0"/>
        <v>3</v>
      </c>
      <c r="N16" s="3" t="s">
        <v>704</v>
      </c>
      <c r="O16" s="3"/>
      <c r="P16" s="3">
        <f t="shared" si="1"/>
        <v>0</v>
      </c>
      <c r="Q16" s="3">
        <f t="shared" si="2"/>
        <v>1</v>
      </c>
      <c r="R16" s="4">
        <f t="shared" si="3"/>
        <v>0</v>
      </c>
      <c r="S16" s="4">
        <f t="shared" si="5"/>
        <v>0</v>
      </c>
      <c r="T16" s="4">
        <f t="shared" si="6"/>
        <v>0</v>
      </c>
      <c r="U16" s="4">
        <f t="shared" si="7"/>
        <v>1</v>
      </c>
      <c r="V16" s="4">
        <f t="shared" si="8"/>
        <v>0</v>
      </c>
      <c r="W16" s="4">
        <f t="shared" si="9"/>
        <v>0</v>
      </c>
      <c r="X16" s="4">
        <f t="shared" si="10"/>
        <v>0</v>
      </c>
      <c r="Y16" s="4">
        <f t="shared" si="4"/>
        <v>0</v>
      </c>
    </row>
    <row r="17" spans="1:25" ht="29" x14ac:dyDescent="0.35">
      <c r="A17" t="s">
        <v>46</v>
      </c>
      <c r="B17" s="3" t="s">
        <v>47</v>
      </c>
      <c r="C17" t="s">
        <v>14</v>
      </c>
      <c r="D17" t="s">
        <v>22</v>
      </c>
      <c r="E17" s="5" t="b">
        <v>0</v>
      </c>
      <c r="F17" s="5" t="b">
        <v>1</v>
      </c>
      <c r="G17" t="s">
        <v>20</v>
      </c>
      <c r="J17" s="3" t="s">
        <v>23</v>
      </c>
      <c r="M17" s="3">
        <f t="shared" si="0"/>
        <v>3</v>
      </c>
      <c r="N17" s="3" t="s">
        <v>704</v>
      </c>
      <c r="O17" s="3"/>
      <c r="P17" s="3">
        <f t="shared" si="1"/>
        <v>0</v>
      </c>
      <c r="Q17" s="3">
        <f t="shared" si="2"/>
        <v>1</v>
      </c>
      <c r="R17" s="4">
        <f t="shared" si="3"/>
        <v>0</v>
      </c>
      <c r="S17" s="4">
        <f t="shared" si="5"/>
        <v>0</v>
      </c>
      <c r="T17" s="4">
        <f t="shared" si="6"/>
        <v>0</v>
      </c>
      <c r="U17" s="4">
        <f t="shared" si="7"/>
        <v>1</v>
      </c>
      <c r="V17" s="4">
        <f t="shared" si="8"/>
        <v>0</v>
      </c>
      <c r="W17" s="4">
        <f t="shared" si="9"/>
        <v>0</v>
      </c>
      <c r="X17" s="4">
        <f t="shared" si="10"/>
        <v>0</v>
      </c>
      <c r="Y17" s="4">
        <f t="shared" si="4"/>
        <v>0</v>
      </c>
    </row>
    <row r="18" spans="1:25" ht="29" x14ac:dyDescent="0.35">
      <c r="A18" t="s">
        <v>46</v>
      </c>
      <c r="B18" s="3" t="s">
        <v>47</v>
      </c>
      <c r="C18" t="s">
        <v>14</v>
      </c>
      <c r="D18" t="s">
        <v>56</v>
      </c>
      <c r="E18" t="b">
        <v>1</v>
      </c>
      <c r="F18" t="b">
        <v>0</v>
      </c>
      <c r="J18" s="3" t="s">
        <v>57</v>
      </c>
      <c r="M18" s="3">
        <f t="shared" si="0"/>
        <v>3</v>
      </c>
      <c r="N18" s="3" t="s">
        <v>718</v>
      </c>
      <c r="O18" s="3"/>
      <c r="P18" s="3">
        <f t="shared" si="1"/>
        <v>0</v>
      </c>
      <c r="Q18" s="3">
        <f t="shared" si="2"/>
        <v>0</v>
      </c>
      <c r="R18" s="4">
        <f t="shared" si="3"/>
        <v>1</v>
      </c>
      <c r="S18" s="4">
        <f t="shared" si="5"/>
        <v>0</v>
      </c>
      <c r="T18" s="4">
        <f t="shared" si="6"/>
        <v>0</v>
      </c>
      <c r="U18" s="4">
        <f t="shared" si="7"/>
        <v>0</v>
      </c>
      <c r="V18" s="4">
        <f t="shared" si="8"/>
        <v>1</v>
      </c>
      <c r="W18" s="4">
        <f t="shared" si="9"/>
        <v>0</v>
      </c>
      <c r="X18" s="4">
        <f t="shared" si="10"/>
        <v>0</v>
      </c>
      <c r="Y18" s="4">
        <f t="shared" si="4"/>
        <v>0</v>
      </c>
    </row>
    <row r="19" spans="1:25" ht="29" x14ac:dyDescent="0.35">
      <c r="A19" t="s">
        <v>58</v>
      </c>
      <c r="B19" s="3" t="s">
        <v>59</v>
      </c>
      <c r="C19" t="s">
        <v>14</v>
      </c>
      <c r="D19" t="s">
        <v>60</v>
      </c>
      <c r="E19" t="b">
        <v>1</v>
      </c>
      <c r="F19" t="b">
        <v>1</v>
      </c>
      <c r="G19" t="s">
        <v>20</v>
      </c>
      <c r="H19">
        <v>0.9</v>
      </c>
      <c r="I19">
        <v>0.99998509200075281</v>
      </c>
      <c r="J19" s="3" t="s">
        <v>61</v>
      </c>
      <c r="K19" s="3" t="s">
        <v>61</v>
      </c>
      <c r="L19" s="3" t="s">
        <v>61</v>
      </c>
      <c r="M19" s="3">
        <f t="shared" si="0"/>
        <v>4</v>
      </c>
      <c r="N19" s="3" t="s">
        <v>720</v>
      </c>
      <c r="O19" s="3"/>
      <c r="P19" s="3">
        <f t="shared" si="1"/>
        <v>1</v>
      </c>
      <c r="Q19" s="3">
        <f t="shared" si="2"/>
        <v>0</v>
      </c>
      <c r="R19" s="4">
        <f t="shared" si="3"/>
        <v>0</v>
      </c>
      <c r="S19" s="4">
        <f t="shared" si="5"/>
        <v>0</v>
      </c>
      <c r="T19" s="4">
        <f t="shared" si="6"/>
        <v>0</v>
      </c>
      <c r="U19" s="4">
        <f t="shared" si="7"/>
        <v>0</v>
      </c>
      <c r="V19" s="4">
        <f t="shared" si="8"/>
        <v>0</v>
      </c>
      <c r="W19" s="4">
        <f t="shared" si="9"/>
        <v>0</v>
      </c>
      <c r="X19" s="4">
        <f t="shared" si="10"/>
        <v>0</v>
      </c>
      <c r="Y19" s="4">
        <f t="shared" si="4"/>
        <v>0</v>
      </c>
    </row>
    <row r="20" spans="1:25" ht="43.5" x14ac:dyDescent="0.35">
      <c r="A20" t="s">
        <v>58</v>
      </c>
      <c r="B20" s="3" t="s">
        <v>59</v>
      </c>
      <c r="C20" t="s">
        <v>14</v>
      </c>
      <c r="D20" t="s">
        <v>42</v>
      </c>
      <c r="E20" t="b">
        <v>1</v>
      </c>
      <c r="F20" t="b">
        <v>1</v>
      </c>
      <c r="G20" t="s">
        <v>20</v>
      </c>
      <c r="H20">
        <v>0.9</v>
      </c>
      <c r="I20">
        <v>0.99999020453966359</v>
      </c>
      <c r="J20" s="3" t="s">
        <v>43</v>
      </c>
      <c r="K20" s="3" t="s">
        <v>43</v>
      </c>
      <c r="L20" s="3" t="s">
        <v>43</v>
      </c>
      <c r="M20" s="3">
        <f t="shared" si="0"/>
        <v>4</v>
      </c>
      <c r="N20" s="3" t="s">
        <v>720</v>
      </c>
      <c r="O20" s="3"/>
      <c r="P20" s="3">
        <f t="shared" si="1"/>
        <v>1</v>
      </c>
      <c r="Q20" s="3">
        <f t="shared" si="2"/>
        <v>0</v>
      </c>
      <c r="R20" s="4">
        <f t="shared" si="3"/>
        <v>0</v>
      </c>
      <c r="S20" s="4">
        <f t="shared" si="5"/>
        <v>0</v>
      </c>
      <c r="T20" s="4">
        <f t="shared" si="6"/>
        <v>0</v>
      </c>
      <c r="U20" s="4">
        <f t="shared" si="7"/>
        <v>0</v>
      </c>
      <c r="V20" s="4">
        <f t="shared" si="8"/>
        <v>0</v>
      </c>
      <c r="W20" s="4">
        <f t="shared" si="9"/>
        <v>0</v>
      </c>
      <c r="X20" s="4">
        <f t="shared" si="10"/>
        <v>0</v>
      </c>
      <c r="Y20" s="4">
        <f t="shared" si="4"/>
        <v>0</v>
      </c>
    </row>
    <row r="21" spans="1:25" ht="29" x14ac:dyDescent="0.35">
      <c r="A21" t="s">
        <v>58</v>
      </c>
      <c r="B21" s="3" t="s">
        <v>59</v>
      </c>
      <c r="C21" t="s">
        <v>14</v>
      </c>
      <c r="D21" t="s">
        <v>62</v>
      </c>
      <c r="E21" t="b">
        <v>1</v>
      </c>
      <c r="F21" t="b">
        <v>1</v>
      </c>
      <c r="G21" t="s">
        <v>20</v>
      </c>
      <c r="H21">
        <v>0.8</v>
      </c>
      <c r="I21">
        <v>0.99999132303560923</v>
      </c>
      <c r="J21" s="3" t="s">
        <v>63</v>
      </c>
      <c r="K21" s="3" t="s">
        <v>63</v>
      </c>
      <c r="L21" s="3" t="s">
        <v>63</v>
      </c>
      <c r="M21" s="3">
        <f t="shared" si="0"/>
        <v>4</v>
      </c>
      <c r="N21" s="3" t="s">
        <v>720</v>
      </c>
      <c r="O21" s="3"/>
      <c r="P21" s="3">
        <f t="shared" si="1"/>
        <v>1</v>
      </c>
      <c r="Q21" s="3">
        <f t="shared" si="2"/>
        <v>0</v>
      </c>
      <c r="R21" s="4">
        <f t="shared" si="3"/>
        <v>0</v>
      </c>
      <c r="S21" s="4">
        <f t="shared" si="5"/>
        <v>0</v>
      </c>
      <c r="T21" s="4">
        <f t="shared" si="6"/>
        <v>0</v>
      </c>
      <c r="U21" s="4">
        <f t="shared" si="7"/>
        <v>0</v>
      </c>
      <c r="V21" s="4">
        <f t="shared" si="8"/>
        <v>0</v>
      </c>
      <c r="W21" s="4">
        <f t="shared" si="9"/>
        <v>0</v>
      </c>
      <c r="X21" s="4">
        <f t="shared" si="10"/>
        <v>0</v>
      </c>
      <c r="Y21" s="4">
        <f t="shared" si="4"/>
        <v>0</v>
      </c>
    </row>
    <row r="22" spans="1:25" ht="29" x14ac:dyDescent="0.35">
      <c r="A22" t="s">
        <v>58</v>
      </c>
      <c r="B22" s="3" t="s">
        <v>59</v>
      </c>
      <c r="C22" t="s">
        <v>14</v>
      </c>
      <c r="D22" t="s">
        <v>64</v>
      </c>
      <c r="E22" t="b">
        <v>1</v>
      </c>
      <c r="F22" t="b">
        <v>1</v>
      </c>
      <c r="G22" t="s">
        <v>20</v>
      </c>
      <c r="H22">
        <v>0.8</v>
      </c>
      <c r="I22">
        <v>0.99999068177139439</v>
      </c>
      <c r="J22" s="3" t="s">
        <v>65</v>
      </c>
      <c r="K22" s="3" t="s">
        <v>65</v>
      </c>
      <c r="L22" s="3" t="s">
        <v>65</v>
      </c>
      <c r="M22" s="3">
        <f t="shared" si="0"/>
        <v>4</v>
      </c>
      <c r="N22" s="3" t="s">
        <v>720</v>
      </c>
      <c r="O22" s="3"/>
      <c r="P22" s="3">
        <f t="shared" si="1"/>
        <v>1</v>
      </c>
      <c r="Q22" s="3">
        <f t="shared" si="2"/>
        <v>0</v>
      </c>
      <c r="R22" s="4">
        <f t="shared" si="3"/>
        <v>0</v>
      </c>
      <c r="S22" s="4">
        <f t="shared" si="5"/>
        <v>0</v>
      </c>
      <c r="T22" s="4">
        <f t="shared" si="6"/>
        <v>0</v>
      </c>
      <c r="U22" s="4">
        <f t="shared" si="7"/>
        <v>0</v>
      </c>
      <c r="V22" s="4">
        <f t="shared" si="8"/>
        <v>0</v>
      </c>
      <c r="W22" s="4">
        <f t="shared" si="9"/>
        <v>0</v>
      </c>
      <c r="X22" s="4">
        <f t="shared" si="10"/>
        <v>0</v>
      </c>
      <c r="Y22" s="4">
        <f t="shared" si="4"/>
        <v>0</v>
      </c>
    </row>
    <row r="23" spans="1:25" ht="58" x14ac:dyDescent="0.35">
      <c r="A23" t="s">
        <v>66</v>
      </c>
      <c r="B23" s="3" t="s">
        <v>67</v>
      </c>
      <c r="C23" t="s">
        <v>14</v>
      </c>
      <c r="D23" t="s">
        <v>68</v>
      </c>
      <c r="E23" t="b">
        <v>1</v>
      </c>
      <c r="F23" t="b">
        <v>1</v>
      </c>
      <c r="G23" t="s">
        <v>20</v>
      </c>
      <c r="H23">
        <v>1</v>
      </c>
      <c r="I23">
        <v>0.99998846364043659</v>
      </c>
      <c r="J23" s="3" t="s">
        <v>69</v>
      </c>
      <c r="K23" s="3" t="s">
        <v>69</v>
      </c>
      <c r="L23" s="3" t="s">
        <v>69</v>
      </c>
      <c r="M23" s="3">
        <f t="shared" si="0"/>
        <v>5</v>
      </c>
      <c r="N23" s="3" t="s">
        <v>720</v>
      </c>
      <c r="O23" s="3"/>
      <c r="P23" s="3">
        <f t="shared" si="1"/>
        <v>1</v>
      </c>
      <c r="Q23" s="3">
        <f t="shared" si="2"/>
        <v>0</v>
      </c>
      <c r="R23" s="4">
        <f t="shared" si="3"/>
        <v>0</v>
      </c>
      <c r="S23" s="4">
        <f t="shared" si="5"/>
        <v>0</v>
      </c>
      <c r="T23" s="4">
        <f t="shared" si="6"/>
        <v>0</v>
      </c>
      <c r="U23" s="4">
        <f t="shared" si="7"/>
        <v>0</v>
      </c>
      <c r="V23" s="4">
        <f t="shared" si="8"/>
        <v>0</v>
      </c>
      <c r="W23" s="4">
        <f t="shared" si="9"/>
        <v>0</v>
      </c>
      <c r="X23" s="4">
        <f t="shared" si="10"/>
        <v>0</v>
      </c>
      <c r="Y23" s="4">
        <f t="shared" si="4"/>
        <v>0</v>
      </c>
    </row>
    <row r="24" spans="1:25" ht="58" x14ac:dyDescent="0.35">
      <c r="A24" t="s">
        <v>66</v>
      </c>
      <c r="B24" s="3" t="s">
        <v>67</v>
      </c>
      <c r="C24" t="s">
        <v>14</v>
      </c>
      <c r="D24" t="s">
        <v>70</v>
      </c>
      <c r="E24" t="b">
        <v>0</v>
      </c>
      <c r="F24" t="b">
        <v>1</v>
      </c>
      <c r="G24" t="s">
        <v>51</v>
      </c>
      <c r="H24">
        <v>0.2</v>
      </c>
      <c r="I24">
        <v>0.89602480213399638</v>
      </c>
      <c r="J24" s="3" t="s">
        <v>71</v>
      </c>
      <c r="K24" s="3" t="s">
        <v>71</v>
      </c>
      <c r="L24" s="3" t="s">
        <v>72</v>
      </c>
      <c r="M24" s="3">
        <f t="shared" si="0"/>
        <v>5</v>
      </c>
      <c r="N24" s="3" t="s">
        <v>703</v>
      </c>
      <c r="O24" s="3" t="s">
        <v>742</v>
      </c>
      <c r="P24" s="3">
        <f t="shared" si="1"/>
        <v>0</v>
      </c>
      <c r="Q24" s="3">
        <f t="shared" si="2"/>
        <v>1</v>
      </c>
      <c r="R24" s="4">
        <f t="shared" si="3"/>
        <v>0</v>
      </c>
      <c r="S24" s="4">
        <f t="shared" si="5"/>
        <v>1</v>
      </c>
      <c r="T24" s="4">
        <f t="shared" si="6"/>
        <v>0</v>
      </c>
      <c r="U24" s="4">
        <f t="shared" si="7"/>
        <v>0</v>
      </c>
      <c r="V24" s="4">
        <f t="shared" si="8"/>
        <v>0</v>
      </c>
      <c r="W24" s="4">
        <f t="shared" si="9"/>
        <v>0</v>
      </c>
      <c r="X24" s="4">
        <f t="shared" si="10"/>
        <v>0</v>
      </c>
      <c r="Y24" s="4">
        <f t="shared" si="4"/>
        <v>1</v>
      </c>
    </row>
    <row r="25" spans="1:25" ht="58" x14ac:dyDescent="0.35">
      <c r="A25" t="s">
        <v>66</v>
      </c>
      <c r="B25" s="3" t="s">
        <v>67</v>
      </c>
      <c r="C25" t="s">
        <v>14</v>
      </c>
      <c r="D25" t="s">
        <v>73</v>
      </c>
      <c r="E25" t="b">
        <v>0</v>
      </c>
      <c r="F25" t="b">
        <v>1</v>
      </c>
      <c r="G25" t="s">
        <v>51</v>
      </c>
      <c r="H25">
        <v>0.2</v>
      </c>
      <c r="I25">
        <v>0.99999032099577956</v>
      </c>
      <c r="J25" s="3" t="s">
        <v>74</v>
      </c>
      <c r="K25" s="3" t="s">
        <v>74</v>
      </c>
      <c r="L25" s="3" t="s">
        <v>74</v>
      </c>
      <c r="M25" s="3">
        <f t="shared" si="0"/>
        <v>5</v>
      </c>
      <c r="N25" s="3" t="s">
        <v>703</v>
      </c>
      <c r="O25" s="3"/>
      <c r="P25" s="3">
        <f t="shared" si="1"/>
        <v>0</v>
      </c>
      <c r="Q25" s="3">
        <f t="shared" si="2"/>
        <v>1</v>
      </c>
      <c r="R25" s="4">
        <f t="shared" si="3"/>
        <v>0</v>
      </c>
      <c r="S25" s="4">
        <f t="shared" si="5"/>
        <v>1</v>
      </c>
      <c r="T25" s="4">
        <f t="shared" si="6"/>
        <v>0</v>
      </c>
      <c r="U25" s="4">
        <f t="shared" si="7"/>
        <v>0</v>
      </c>
      <c r="V25" s="4">
        <f t="shared" si="8"/>
        <v>0</v>
      </c>
      <c r="W25" s="4">
        <f t="shared" si="9"/>
        <v>0</v>
      </c>
      <c r="X25" s="4">
        <f t="shared" si="10"/>
        <v>0</v>
      </c>
      <c r="Y25" s="4">
        <f t="shared" si="4"/>
        <v>0</v>
      </c>
    </row>
    <row r="26" spans="1:25" ht="58" x14ac:dyDescent="0.35">
      <c r="A26" t="s">
        <v>66</v>
      </c>
      <c r="B26" s="3" t="s">
        <v>67</v>
      </c>
      <c r="C26" t="s">
        <v>14</v>
      </c>
      <c r="D26" t="s">
        <v>75</v>
      </c>
      <c r="E26" t="b">
        <v>1</v>
      </c>
      <c r="F26" t="b">
        <v>0</v>
      </c>
      <c r="J26" s="3" t="s">
        <v>76</v>
      </c>
      <c r="M26" s="3">
        <f t="shared" si="0"/>
        <v>5</v>
      </c>
      <c r="N26" s="3" t="s">
        <v>718</v>
      </c>
      <c r="O26" s="3"/>
      <c r="P26" s="3">
        <f t="shared" si="1"/>
        <v>0</v>
      </c>
      <c r="Q26" s="3">
        <f t="shared" si="2"/>
        <v>0</v>
      </c>
      <c r="R26" s="4">
        <f t="shared" si="3"/>
        <v>1</v>
      </c>
      <c r="S26" s="4">
        <f t="shared" si="5"/>
        <v>0</v>
      </c>
      <c r="T26" s="4">
        <f t="shared" si="6"/>
        <v>0</v>
      </c>
      <c r="U26" s="4">
        <f t="shared" si="7"/>
        <v>0</v>
      </c>
      <c r="V26" s="4">
        <f t="shared" si="8"/>
        <v>1</v>
      </c>
      <c r="W26" s="4">
        <f t="shared" si="9"/>
        <v>0</v>
      </c>
      <c r="X26" s="4">
        <f t="shared" si="10"/>
        <v>0</v>
      </c>
      <c r="Y26" s="4">
        <f t="shared" si="4"/>
        <v>0</v>
      </c>
    </row>
    <row r="27" spans="1:25" ht="29" x14ac:dyDescent="0.35">
      <c r="A27" t="s">
        <v>77</v>
      </c>
      <c r="B27" s="3" t="s">
        <v>78</v>
      </c>
      <c r="C27" t="s">
        <v>14</v>
      </c>
      <c r="D27" t="s">
        <v>79</v>
      </c>
      <c r="E27" t="b">
        <v>0</v>
      </c>
      <c r="F27" t="b">
        <v>1</v>
      </c>
      <c r="G27" t="s">
        <v>51</v>
      </c>
      <c r="H27">
        <v>1</v>
      </c>
      <c r="I27">
        <v>0.99999194839909056</v>
      </c>
      <c r="J27" s="3" t="s">
        <v>80</v>
      </c>
      <c r="K27" s="3" t="s">
        <v>80</v>
      </c>
      <c r="L27" s="3" t="s">
        <v>80</v>
      </c>
      <c r="M27" s="3">
        <f t="shared" si="0"/>
        <v>6</v>
      </c>
      <c r="N27" s="3" t="s">
        <v>703</v>
      </c>
      <c r="O27" s="3"/>
      <c r="P27" s="3">
        <f t="shared" si="1"/>
        <v>0</v>
      </c>
      <c r="Q27" s="3">
        <f t="shared" si="2"/>
        <v>1</v>
      </c>
      <c r="R27" s="4">
        <f t="shared" si="3"/>
        <v>0</v>
      </c>
      <c r="S27" s="4">
        <f t="shared" si="5"/>
        <v>1</v>
      </c>
      <c r="T27" s="4">
        <f t="shared" si="6"/>
        <v>0</v>
      </c>
      <c r="U27" s="4">
        <f t="shared" si="7"/>
        <v>0</v>
      </c>
      <c r="V27" s="4">
        <f t="shared" si="8"/>
        <v>0</v>
      </c>
      <c r="W27" s="4">
        <f t="shared" si="9"/>
        <v>0</v>
      </c>
      <c r="X27" s="4">
        <f t="shared" si="10"/>
        <v>0</v>
      </c>
      <c r="Y27" s="4">
        <f t="shared" si="4"/>
        <v>0</v>
      </c>
    </row>
    <row r="28" spans="1:25" ht="29" x14ac:dyDescent="0.35">
      <c r="A28" t="s">
        <v>77</v>
      </c>
      <c r="B28" s="3" t="s">
        <v>78</v>
      </c>
      <c r="C28" t="s">
        <v>14</v>
      </c>
      <c r="D28" t="s">
        <v>33</v>
      </c>
      <c r="E28" t="b">
        <v>0</v>
      </c>
      <c r="F28" t="b">
        <v>1</v>
      </c>
      <c r="G28" t="s">
        <v>36</v>
      </c>
      <c r="H28">
        <v>1</v>
      </c>
      <c r="I28">
        <v>0.99999236351829557</v>
      </c>
      <c r="J28" s="3" t="s">
        <v>34</v>
      </c>
      <c r="K28" s="3" t="s">
        <v>34</v>
      </c>
      <c r="L28" s="3" t="s">
        <v>34</v>
      </c>
      <c r="M28" s="3">
        <f t="shared" si="0"/>
        <v>6</v>
      </c>
      <c r="N28" s="3" t="s">
        <v>709</v>
      </c>
      <c r="O28" s="3"/>
      <c r="P28" s="3">
        <f t="shared" si="1"/>
        <v>0</v>
      </c>
      <c r="Q28" s="3">
        <f t="shared" si="2"/>
        <v>1</v>
      </c>
      <c r="R28" s="4">
        <f t="shared" si="3"/>
        <v>0</v>
      </c>
      <c r="S28" s="4">
        <f t="shared" si="5"/>
        <v>0</v>
      </c>
      <c r="T28" s="4">
        <f t="shared" si="6"/>
        <v>1</v>
      </c>
      <c r="U28" s="4">
        <f t="shared" si="7"/>
        <v>0</v>
      </c>
      <c r="V28" s="4">
        <f t="shared" si="8"/>
        <v>0</v>
      </c>
      <c r="W28" s="4">
        <f t="shared" si="9"/>
        <v>0</v>
      </c>
      <c r="X28" s="4">
        <f t="shared" si="10"/>
        <v>0</v>
      </c>
      <c r="Y28" s="4">
        <f t="shared" si="4"/>
        <v>0</v>
      </c>
    </row>
    <row r="29" spans="1:25" ht="29" x14ac:dyDescent="0.35">
      <c r="A29" t="s">
        <v>77</v>
      </c>
      <c r="B29" s="3" t="s">
        <v>78</v>
      </c>
      <c r="C29" t="s">
        <v>14</v>
      </c>
      <c r="D29" t="s">
        <v>81</v>
      </c>
      <c r="E29" t="b">
        <v>1</v>
      </c>
      <c r="F29" t="b">
        <v>0</v>
      </c>
      <c r="J29" s="3" t="s">
        <v>82</v>
      </c>
      <c r="M29" s="3">
        <f t="shared" si="0"/>
        <v>6</v>
      </c>
      <c r="N29" s="3" t="s">
        <v>718</v>
      </c>
      <c r="O29" s="3"/>
      <c r="P29" s="3">
        <f t="shared" si="1"/>
        <v>0</v>
      </c>
      <c r="Q29" s="3">
        <f t="shared" si="2"/>
        <v>0</v>
      </c>
      <c r="R29" s="4">
        <f t="shared" si="3"/>
        <v>1</v>
      </c>
      <c r="S29" s="4">
        <f t="shared" si="5"/>
        <v>0</v>
      </c>
      <c r="T29" s="4">
        <f t="shared" si="6"/>
        <v>0</v>
      </c>
      <c r="U29" s="4">
        <f t="shared" si="7"/>
        <v>0</v>
      </c>
      <c r="V29" s="4">
        <f t="shared" si="8"/>
        <v>1</v>
      </c>
      <c r="W29" s="4">
        <f t="shared" si="9"/>
        <v>0</v>
      </c>
      <c r="X29" s="4">
        <f t="shared" si="10"/>
        <v>0</v>
      </c>
      <c r="Y29" s="4">
        <f t="shared" si="4"/>
        <v>0</v>
      </c>
    </row>
    <row r="30" spans="1:25" ht="29" x14ac:dyDescent="0.35">
      <c r="A30" t="s">
        <v>77</v>
      </c>
      <c r="B30" s="3" t="s">
        <v>78</v>
      </c>
      <c r="C30" t="s">
        <v>14</v>
      </c>
      <c r="D30" t="s">
        <v>83</v>
      </c>
      <c r="E30" t="b">
        <v>1</v>
      </c>
      <c r="F30" t="b">
        <v>0</v>
      </c>
      <c r="J30" s="3" t="s">
        <v>84</v>
      </c>
      <c r="M30" s="3">
        <f t="shared" si="0"/>
        <v>6</v>
      </c>
      <c r="N30" s="3" t="s">
        <v>718</v>
      </c>
      <c r="O30" s="3"/>
      <c r="P30" s="3">
        <f t="shared" si="1"/>
        <v>0</v>
      </c>
      <c r="Q30" s="3">
        <f t="shared" si="2"/>
        <v>0</v>
      </c>
      <c r="R30" s="4">
        <f t="shared" si="3"/>
        <v>1</v>
      </c>
      <c r="S30" s="4">
        <f t="shared" si="5"/>
        <v>0</v>
      </c>
      <c r="T30" s="4">
        <f t="shared" si="6"/>
        <v>0</v>
      </c>
      <c r="U30" s="4">
        <f t="shared" si="7"/>
        <v>0</v>
      </c>
      <c r="V30" s="4">
        <f t="shared" si="8"/>
        <v>1</v>
      </c>
      <c r="W30" s="4">
        <f t="shared" si="9"/>
        <v>0</v>
      </c>
      <c r="X30" s="4">
        <f t="shared" si="10"/>
        <v>0</v>
      </c>
      <c r="Y30" s="4">
        <f t="shared" si="4"/>
        <v>0</v>
      </c>
    </row>
    <row r="31" spans="1:25" ht="29" x14ac:dyDescent="0.35">
      <c r="A31" t="s">
        <v>77</v>
      </c>
      <c r="B31" s="3" t="s">
        <v>78</v>
      </c>
      <c r="C31" t="s">
        <v>14</v>
      </c>
      <c r="D31" t="s">
        <v>85</v>
      </c>
      <c r="E31" t="b">
        <v>1</v>
      </c>
      <c r="F31" t="b">
        <v>0</v>
      </c>
      <c r="J31" s="3" t="s">
        <v>86</v>
      </c>
      <c r="M31" s="3">
        <f t="shared" si="0"/>
        <v>6</v>
      </c>
      <c r="N31" s="3" t="s">
        <v>718</v>
      </c>
      <c r="O31" s="3"/>
      <c r="P31" s="3">
        <f t="shared" si="1"/>
        <v>0</v>
      </c>
      <c r="Q31" s="3">
        <f t="shared" si="2"/>
        <v>0</v>
      </c>
      <c r="R31" s="4">
        <f t="shared" si="3"/>
        <v>1</v>
      </c>
      <c r="S31" s="4">
        <f t="shared" si="5"/>
        <v>0</v>
      </c>
      <c r="T31" s="4">
        <f t="shared" si="6"/>
        <v>0</v>
      </c>
      <c r="U31" s="4">
        <f t="shared" si="7"/>
        <v>0</v>
      </c>
      <c r="V31" s="4">
        <f t="shared" si="8"/>
        <v>1</v>
      </c>
      <c r="W31" s="4">
        <f t="shared" si="9"/>
        <v>0</v>
      </c>
      <c r="X31" s="4">
        <f t="shared" si="10"/>
        <v>0</v>
      </c>
      <c r="Y31" s="4">
        <f t="shared" si="4"/>
        <v>0</v>
      </c>
    </row>
    <row r="32" spans="1:25" ht="43.5" x14ac:dyDescent="0.35">
      <c r="A32" t="s">
        <v>87</v>
      </c>
      <c r="B32" s="3" t="s">
        <v>88</v>
      </c>
      <c r="C32" t="s">
        <v>14</v>
      </c>
      <c r="D32" t="s">
        <v>19</v>
      </c>
      <c r="E32" t="b">
        <v>1</v>
      </c>
      <c r="F32" t="b">
        <v>1</v>
      </c>
      <c r="G32" t="s">
        <v>20</v>
      </c>
      <c r="H32">
        <v>0.9</v>
      </c>
      <c r="I32">
        <v>0.99999142758811277</v>
      </c>
      <c r="J32" s="3" t="s">
        <v>21</v>
      </c>
      <c r="K32" s="3" t="s">
        <v>21</v>
      </c>
      <c r="L32" s="3" t="s">
        <v>21</v>
      </c>
      <c r="M32" s="3">
        <f t="shared" si="0"/>
        <v>7</v>
      </c>
      <c r="N32" s="3" t="s">
        <v>720</v>
      </c>
      <c r="O32" s="3"/>
      <c r="P32" s="3">
        <f t="shared" si="1"/>
        <v>1</v>
      </c>
      <c r="Q32" s="3">
        <f t="shared" si="2"/>
        <v>0</v>
      </c>
      <c r="R32" s="4">
        <f t="shared" si="3"/>
        <v>0</v>
      </c>
      <c r="S32" s="4">
        <f t="shared" si="5"/>
        <v>0</v>
      </c>
      <c r="T32" s="4">
        <f t="shared" si="6"/>
        <v>0</v>
      </c>
      <c r="U32" s="4">
        <f t="shared" si="7"/>
        <v>0</v>
      </c>
      <c r="V32" s="4">
        <f t="shared" si="8"/>
        <v>0</v>
      </c>
      <c r="W32" s="4">
        <f t="shared" si="9"/>
        <v>0</v>
      </c>
      <c r="X32" s="4">
        <f t="shared" si="10"/>
        <v>0</v>
      </c>
      <c r="Y32" s="4">
        <f t="shared" si="4"/>
        <v>0</v>
      </c>
    </row>
    <row r="33" spans="1:25" ht="43.5" x14ac:dyDescent="0.35">
      <c r="A33" t="s">
        <v>87</v>
      </c>
      <c r="B33" s="3" t="s">
        <v>88</v>
      </c>
      <c r="C33" t="s">
        <v>14</v>
      </c>
      <c r="D33" t="s">
        <v>89</v>
      </c>
      <c r="E33" t="b">
        <v>0</v>
      </c>
      <c r="F33" t="b">
        <v>1</v>
      </c>
      <c r="G33" t="s">
        <v>36</v>
      </c>
      <c r="H33">
        <v>0.9</v>
      </c>
      <c r="I33">
        <v>0.99998915129233956</v>
      </c>
      <c r="J33" s="3" t="s">
        <v>90</v>
      </c>
      <c r="K33" s="3" t="s">
        <v>90</v>
      </c>
      <c r="L33" s="3" t="s">
        <v>90</v>
      </c>
      <c r="M33" s="3">
        <f t="shared" si="0"/>
        <v>7</v>
      </c>
      <c r="N33" s="3" t="s">
        <v>709</v>
      </c>
      <c r="O33" s="3"/>
      <c r="P33" s="3">
        <f t="shared" si="1"/>
        <v>0</v>
      </c>
      <c r="Q33" s="3">
        <f t="shared" si="2"/>
        <v>1</v>
      </c>
      <c r="R33" s="4">
        <f t="shared" si="3"/>
        <v>0</v>
      </c>
      <c r="S33" s="4">
        <f t="shared" si="5"/>
        <v>0</v>
      </c>
      <c r="T33" s="4">
        <f t="shared" si="6"/>
        <v>1</v>
      </c>
      <c r="U33" s="4">
        <f t="shared" si="7"/>
        <v>0</v>
      </c>
      <c r="V33" s="4">
        <f t="shared" si="8"/>
        <v>0</v>
      </c>
      <c r="W33" s="4">
        <f t="shared" si="9"/>
        <v>0</v>
      </c>
      <c r="X33" s="4">
        <f t="shared" si="10"/>
        <v>0</v>
      </c>
      <c r="Y33" s="4">
        <f t="shared" si="4"/>
        <v>0</v>
      </c>
    </row>
    <row r="34" spans="1:25" ht="43.5" x14ac:dyDescent="0.35">
      <c r="A34" t="s">
        <v>87</v>
      </c>
      <c r="B34" s="3" t="s">
        <v>88</v>
      </c>
      <c r="C34" t="s">
        <v>14</v>
      </c>
      <c r="D34" t="s">
        <v>91</v>
      </c>
      <c r="E34" t="b">
        <v>0</v>
      </c>
      <c r="F34" t="b">
        <v>1</v>
      </c>
      <c r="G34" t="s">
        <v>36</v>
      </c>
      <c r="H34">
        <v>0.9</v>
      </c>
      <c r="I34">
        <v>0.99999146659613558</v>
      </c>
      <c r="J34" s="3" t="s">
        <v>92</v>
      </c>
      <c r="K34" s="3" t="s">
        <v>92</v>
      </c>
      <c r="L34" s="3" t="s">
        <v>92</v>
      </c>
      <c r="M34" s="3">
        <f t="shared" si="0"/>
        <v>7</v>
      </c>
      <c r="N34" s="3" t="s">
        <v>709</v>
      </c>
      <c r="O34" s="3"/>
      <c r="P34" s="3">
        <f t="shared" si="1"/>
        <v>0</v>
      </c>
      <c r="Q34" s="3">
        <f t="shared" si="2"/>
        <v>1</v>
      </c>
      <c r="R34" s="4">
        <f t="shared" si="3"/>
        <v>0</v>
      </c>
      <c r="S34" s="4">
        <f t="shared" si="5"/>
        <v>0</v>
      </c>
      <c r="T34" s="4">
        <f t="shared" si="6"/>
        <v>1</v>
      </c>
      <c r="U34" s="4">
        <f t="shared" si="7"/>
        <v>0</v>
      </c>
      <c r="V34" s="4">
        <f t="shared" si="8"/>
        <v>0</v>
      </c>
      <c r="W34" s="4">
        <f t="shared" si="9"/>
        <v>0</v>
      </c>
      <c r="X34" s="4">
        <f t="shared" si="10"/>
        <v>0</v>
      </c>
      <c r="Y34" s="4">
        <f t="shared" si="4"/>
        <v>0</v>
      </c>
    </row>
    <row r="35" spans="1:25" ht="43.5" x14ac:dyDescent="0.35">
      <c r="A35" t="s">
        <v>87</v>
      </c>
      <c r="B35" s="3" t="s">
        <v>88</v>
      </c>
      <c r="C35" t="s">
        <v>14</v>
      </c>
      <c r="D35" t="s">
        <v>93</v>
      </c>
      <c r="E35" t="b">
        <v>0</v>
      </c>
      <c r="F35" t="b">
        <v>1</v>
      </c>
      <c r="G35" t="s">
        <v>16</v>
      </c>
      <c r="H35">
        <v>0.8</v>
      </c>
      <c r="I35">
        <v>0.78971162170856202</v>
      </c>
      <c r="J35" s="3" t="s">
        <v>94</v>
      </c>
      <c r="K35" s="3" t="s">
        <v>94</v>
      </c>
      <c r="L35" s="3" t="s">
        <v>95</v>
      </c>
      <c r="M35" s="3">
        <f t="shared" si="0"/>
        <v>7</v>
      </c>
      <c r="N35" s="3" t="s">
        <v>703</v>
      </c>
      <c r="O35" s="3" t="s">
        <v>712</v>
      </c>
      <c r="P35" s="3">
        <f t="shared" si="1"/>
        <v>0</v>
      </c>
      <c r="Q35" s="3">
        <f t="shared" si="2"/>
        <v>1</v>
      </c>
      <c r="R35" s="4">
        <f t="shared" si="3"/>
        <v>0</v>
      </c>
      <c r="S35" s="4">
        <f t="shared" si="5"/>
        <v>1</v>
      </c>
      <c r="T35" s="4">
        <f t="shared" si="6"/>
        <v>0</v>
      </c>
      <c r="U35" s="4">
        <f t="shared" si="7"/>
        <v>0</v>
      </c>
      <c r="V35" s="4">
        <f t="shared" si="8"/>
        <v>0</v>
      </c>
      <c r="W35" s="4">
        <f t="shared" si="9"/>
        <v>0</v>
      </c>
      <c r="X35" s="4">
        <f t="shared" si="10"/>
        <v>1</v>
      </c>
      <c r="Y35" s="4">
        <f t="shared" si="4"/>
        <v>0</v>
      </c>
    </row>
    <row r="36" spans="1:25" ht="43.5" x14ac:dyDescent="0.35">
      <c r="A36" t="s">
        <v>87</v>
      </c>
      <c r="B36" s="3" t="s">
        <v>88</v>
      </c>
      <c r="C36" t="s">
        <v>14</v>
      </c>
      <c r="D36" t="s">
        <v>62</v>
      </c>
      <c r="E36" t="b">
        <v>1</v>
      </c>
      <c r="F36" t="b">
        <v>0</v>
      </c>
      <c r="J36" s="3" t="s">
        <v>63</v>
      </c>
      <c r="M36" s="3">
        <f t="shared" si="0"/>
        <v>7</v>
      </c>
      <c r="N36" s="3" t="s">
        <v>718</v>
      </c>
      <c r="O36" s="3"/>
      <c r="P36" s="3">
        <f t="shared" si="1"/>
        <v>0</v>
      </c>
      <c r="Q36" s="3">
        <f t="shared" si="2"/>
        <v>0</v>
      </c>
      <c r="R36" s="4">
        <f t="shared" si="3"/>
        <v>1</v>
      </c>
      <c r="S36" s="4">
        <f t="shared" si="5"/>
        <v>0</v>
      </c>
      <c r="T36" s="4">
        <f t="shared" si="6"/>
        <v>0</v>
      </c>
      <c r="U36" s="4">
        <f t="shared" si="7"/>
        <v>0</v>
      </c>
      <c r="V36" s="4">
        <f t="shared" si="8"/>
        <v>1</v>
      </c>
      <c r="W36" s="4">
        <f t="shared" si="9"/>
        <v>0</v>
      </c>
      <c r="X36" s="4">
        <f t="shared" si="10"/>
        <v>0</v>
      </c>
      <c r="Y36" s="4">
        <f t="shared" si="4"/>
        <v>0</v>
      </c>
    </row>
    <row r="37" spans="1:25" ht="43.5" x14ac:dyDescent="0.35">
      <c r="A37" t="s">
        <v>87</v>
      </c>
      <c r="B37" s="3" t="s">
        <v>88</v>
      </c>
      <c r="C37" t="s">
        <v>14</v>
      </c>
      <c r="D37" t="s">
        <v>96</v>
      </c>
      <c r="E37" t="b">
        <v>1</v>
      </c>
      <c r="F37" t="b">
        <v>0</v>
      </c>
      <c r="J37" s="3" t="s">
        <v>97</v>
      </c>
      <c r="M37" s="3">
        <f t="shared" si="0"/>
        <v>7</v>
      </c>
      <c r="N37" s="3" t="s">
        <v>718</v>
      </c>
      <c r="O37" s="3"/>
      <c r="P37" s="3">
        <f t="shared" si="1"/>
        <v>0</v>
      </c>
      <c r="Q37" s="3">
        <f t="shared" si="2"/>
        <v>0</v>
      </c>
      <c r="R37" s="4">
        <f t="shared" si="3"/>
        <v>1</v>
      </c>
      <c r="S37" s="4">
        <f t="shared" si="5"/>
        <v>0</v>
      </c>
      <c r="T37" s="4">
        <f t="shared" si="6"/>
        <v>0</v>
      </c>
      <c r="U37" s="4">
        <f t="shared" si="7"/>
        <v>0</v>
      </c>
      <c r="V37" s="4">
        <f t="shared" si="8"/>
        <v>1</v>
      </c>
      <c r="W37" s="4">
        <f t="shared" si="9"/>
        <v>0</v>
      </c>
      <c r="X37" s="4">
        <f t="shared" si="10"/>
        <v>0</v>
      </c>
      <c r="Y37" s="4">
        <f t="shared" si="4"/>
        <v>0</v>
      </c>
    </row>
    <row r="38" spans="1:25" ht="29" x14ac:dyDescent="0.35">
      <c r="A38" t="s">
        <v>98</v>
      </c>
      <c r="B38" s="3" t="s">
        <v>99</v>
      </c>
      <c r="C38" t="s">
        <v>14</v>
      </c>
      <c r="D38" t="s">
        <v>62</v>
      </c>
      <c r="E38" t="b">
        <v>1</v>
      </c>
      <c r="F38" t="b">
        <v>1</v>
      </c>
      <c r="G38" t="s">
        <v>20</v>
      </c>
      <c r="H38">
        <v>0.9</v>
      </c>
      <c r="I38">
        <v>0.99999132303560923</v>
      </c>
      <c r="J38" s="3" t="s">
        <v>63</v>
      </c>
      <c r="K38" s="3" t="s">
        <v>63</v>
      </c>
      <c r="L38" s="3" t="s">
        <v>63</v>
      </c>
      <c r="M38" s="3">
        <f t="shared" si="0"/>
        <v>8</v>
      </c>
      <c r="N38" s="3" t="s">
        <v>720</v>
      </c>
      <c r="O38" s="3"/>
      <c r="P38" s="3">
        <f t="shared" si="1"/>
        <v>1</v>
      </c>
      <c r="Q38" s="3">
        <f t="shared" si="2"/>
        <v>0</v>
      </c>
      <c r="R38" s="4">
        <f t="shared" si="3"/>
        <v>0</v>
      </c>
      <c r="S38" s="4">
        <f t="shared" si="5"/>
        <v>0</v>
      </c>
      <c r="T38" s="4">
        <f t="shared" si="6"/>
        <v>0</v>
      </c>
      <c r="U38" s="4">
        <f t="shared" si="7"/>
        <v>0</v>
      </c>
      <c r="V38" s="4">
        <f t="shared" si="8"/>
        <v>0</v>
      </c>
      <c r="W38" s="4">
        <f t="shared" si="9"/>
        <v>0</v>
      </c>
      <c r="X38" s="4">
        <f t="shared" si="10"/>
        <v>0</v>
      </c>
      <c r="Y38" s="4">
        <f t="shared" si="4"/>
        <v>0</v>
      </c>
    </row>
    <row r="39" spans="1:25" ht="29" x14ac:dyDescent="0.35">
      <c r="A39" t="s">
        <v>98</v>
      </c>
      <c r="B39" s="3" t="s">
        <v>99</v>
      </c>
      <c r="C39" t="s">
        <v>14</v>
      </c>
      <c r="D39" t="s">
        <v>100</v>
      </c>
      <c r="E39" t="b">
        <v>0</v>
      </c>
      <c r="F39" t="b">
        <v>1</v>
      </c>
      <c r="G39" t="s">
        <v>20</v>
      </c>
      <c r="H39">
        <v>0.9</v>
      </c>
      <c r="I39">
        <v>0.99998736447354419</v>
      </c>
      <c r="J39" s="3" t="s">
        <v>101</v>
      </c>
      <c r="K39" s="3" t="s">
        <v>102</v>
      </c>
      <c r="L39" s="3" t="s">
        <v>102</v>
      </c>
      <c r="M39" s="3">
        <f t="shared" si="0"/>
        <v>8</v>
      </c>
      <c r="N39" s="3" t="s">
        <v>704</v>
      </c>
      <c r="O39" s="3"/>
      <c r="P39" s="3">
        <f t="shared" si="1"/>
        <v>0</v>
      </c>
      <c r="Q39" s="3">
        <f t="shared" si="2"/>
        <v>1</v>
      </c>
      <c r="R39" s="4">
        <f t="shared" si="3"/>
        <v>0</v>
      </c>
      <c r="S39" s="4">
        <f t="shared" si="5"/>
        <v>0</v>
      </c>
      <c r="T39" s="4">
        <f t="shared" si="6"/>
        <v>0</v>
      </c>
      <c r="U39" s="4">
        <f t="shared" si="7"/>
        <v>1</v>
      </c>
      <c r="V39" s="4">
        <f t="shared" si="8"/>
        <v>0</v>
      </c>
      <c r="W39" s="4">
        <f t="shared" si="9"/>
        <v>0</v>
      </c>
      <c r="X39" s="4">
        <f t="shared" si="10"/>
        <v>0</v>
      </c>
      <c r="Y39" s="4">
        <f t="shared" si="4"/>
        <v>0</v>
      </c>
    </row>
    <row r="40" spans="1:25" ht="29" x14ac:dyDescent="0.35">
      <c r="A40" t="s">
        <v>98</v>
      </c>
      <c r="B40" s="3" t="s">
        <v>99</v>
      </c>
      <c r="C40" t="s">
        <v>14</v>
      </c>
      <c r="D40" t="s">
        <v>103</v>
      </c>
      <c r="E40" t="b">
        <v>1</v>
      </c>
      <c r="F40" t="b">
        <v>1</v>
      </c>
      <c r="G40" t="s">
        <v>20</v>
      </c>
      <c r="H40">
        <v>0.8</v>
      </c>
      <c r="I40">
        <v>0.964275773588118</v>
      </c>
      <c r="J40" s="3" t="s">
        <v>104</v>
      </c>
      <c r="K40" s="3" t="s">
        <v>105</v>
      </c>
      <c r="L40" s="3" t="s">
        <v>106</v>
      </c>
      <c r="M40" s="3">
        <f t="shared" si="0"/>
        <v>8</v>
      </c>
      <c r="N40" s="3" t="s">
        <v>720</v>
      </c>
      <c r="O40" s="3"/>
      <c r="P40" s="3">
        <f t="shared" si="1"/>
        <v>1</v>
      </c>
      <c r="Q40" s="3">
        <f t="shared" si="2"/>
        <v>0</v>
      </c>
      <c r="R40" s="4">
        <f t="shared" si="3"/>
        <v>0</v>
      </c>
      <c r="S40" s="4">
        <f t="shared" si="5"/>
        <v>0</v>
      </c>
      <c r="T40" s="4">
        <f t="shared" si="6"/>
        <v>0</v>
      </c>
      <c r="U40" s="4">
        <f t="shared" si="7"/>
        <v>0</v>
      </c>
      <c r="V40" s="4">
        <f t="shared" si="8"/>
        <v>0</v>
      </c>
      <c r="W40" s="4">
        <f t="shared" si="9"/>
        <v>0</v>
      </c>
      <c r="X40" s="4">
        <f t="shared" si="10"/>
        <v>0</v>
      </c>
      <c r="Y40" s="4">
        <f t="shared" si="4"/>
        <v>0</v>
      </c>
    </row>
    <row r="41" spans="1:25" x14ac:dyDescent="0.35">
      <c r="A41" t="s">
        <v>107</v>
      </c>
      <c r="B41" s="3" t="s">
        <v>108</v>
      </c>
      <c r="C41" t="s">
        <v>14</v>
      </c>
      <c r="D41" t="s">
        <v>48</v>
      </c>
      <c r="E41" s="5" t="b">
        <v>0</v>
      </c>
      <c r="F41" s="5" t="b">
        <v>1</v>
      </c>
      <c r="G41" t="s">
        <v>51</v>
      </c>
      <c r="J41" s="3" t="s">
        <v>49</v>
      </c>
      <c r="M41" s="3">
        <f t="shared" si="0"/>
        <v>9</v>
      </c>
      <c r="N41" s="3" t="s">
        <v>703</v>
      </c>
      <c r="O41" s="3"/>
      <c r="P41" s="3">
        <f t="shared" si="1"/>
        <v>0</v>
      </c>
      <c r="Q41" s="3">
        <f t="shared" si="2"/>
        <v>1</v>
      </c>
      <c r="R41" s="4">
        <f t="shared" si="3"/>
        <v>0</v>
      </c>
      <c r="S41" s="4">
        <f t="shared" si="5"/>
        <v>1</v>
      </c>
      <c r="T41" s="4">
        <f t="shared" si="6"/>
        <v>0</v>
      </c>
      <c r="U41" s="4">
        <f t="shared" si="7"/>
        <v>0</v>
      </c>
      <c r="V41" s="4">
        <f t="shared" si="8"/>
        <v>0</v>
      </c>
      <c r="W41" s="4">
        <f t="shared" si="9"/>
        <v>0</v>
      </c>
      <c r="X41" s="4">
        <f t="shared" si="10"/>
        <v>0</v>
      </c>
      <c r="Y41" s="4">
        <f t="shared" si="4"/>
        <v>0</v>
      </c>
    </row>
    <row r="42" spans="1:25" x14ac:dyDescent="0.35">
      <c r="A42" t="s">
        <v>107</v>
      </c>
      <c r="B42" s="3" t="s">
        <v>108</v>
      </c>
      <c r="C42" t="s">
        <v>14</v>
      </c>
      <c r="D42" t="s">
        <v>109</v>
      </c>
      <c r="E42" t="b">
        <v>1</v>
      </c>
      <c r="F42" t="b">
        <v>1</v>
      </c>
      <c r="G42" t="s">
        <v>20</v>
      </c>
      <c r="H42">
        <v>0.9</v>
      </c>
      <c r="I42">
        <v>0.93463404391414562</v>
      </c>
      <c r="J42" s="3" t="s">
        <v>110</v>
      </c>
      <c r="K42" s="3" t="s">
        <v>111</v>
      </c>
      <c r="L42" s="3" t="s">
        <v>112</v>
      </c>
      <c r="M42" s="3">
        <f t="shared" si="0"/>
        <v>9</v>
      </c>
      <c r="N42" s="3" t="s">
        <v>720</v>
      </c>
      <c r="O42" s="3"/>
      <c r="P42" s="3">
        <f t="shared" si="1"/>
        <v>1</v>
      </c>
      <c r="Q42" s="3">
        <f t="shared" si="2"/>
        <v>0</v>
      </c>
      <c r="R42" s="4">
        <f t="shared" si="3"/>
        <v>0</v>
      </c>
      <c r="S42" s="4">
        <f t="shared" si="5"/>
        <v>0</v>
      </c>
      <c r="T42" s="4">
        <f t="shared" si="6"/>
        <v>0</v>
      </c>
      <c r="U42" s="4">
        <f t="shared" si="7"/>
        <v>0</v>
      </c>
      <c r="V42" s="4">
        <f t="shared" si="8"/>
        <v>0</v>
      </c>
      <c r="W42" s="4">
        <f t="shared" si="9"/>
        <v>0</v>
      </c>
      <c r="X42" s="4">
        <f t="shared" si="10"/>
        <v>0</v>
      </c>
      <c r="Y42" s="4">
        <f t="shared" si="4"/>
        <v>0</v>
      </c>
    </row>
    <row r="43" spans="1:25" x14ac:dyDescent="0.35">
      <c r="A43" t="s">
        <v>107</v>
      </c>
      <c r="B43" s="3" t="s">
        <v>108</v>
      </c>
      <c r="C43" t="s">
        <v>14</v>
      </c>
      <c r="D43" t="s">
        <v>113</v>
      </c>
      <c r="E43" s="5" t="b">
        <v>0</v>
      </c>
      <c r="F43" s="5" t="b">
        <v>1</v>
      </c>
      <c r="G43" t="s">
        <v>51</v>
      </c>
      <c r="J43" s="3" t="s">
        <v>114</v>
      </c>
      <c r="M43" s="3">
        <f t="shared" si="0"/>
        <v>9</v>
      </c>
      <c r="N43" s="3" t="s">
        <v>703</v>
      </c>
      <c r="O43" s="3"/>
      <c r="P43" s="3">
        <f t="shared" si="1"/>
        <v>0</v>
      </c>
      <c r="Q43" s="3">
        <f t="shared" si="2"/>
        <v>1</v>
      </c>
      <c r="R43" s="4">
        <f t="shared" si="3"/>
        <v>0</v>
      </c>
      <c r="S43" s="4">
        <f t="shared" si="5"/>
        <v>1</v>
      </c>
      <c r="T43" s="4">
        <f t="shared" si="6"/>
        <v>0</v>
      </c>
      <c r="U43" s="4">
        <f t="shared" si="7"/>
        <v>0</v>
      </c>
      <c r="V43" s="4">
        <f t="shared" si="8"/>
        <v>0</v>
      </c>
      <c r="W43" s="4">
        <f t="shared" si="9"/>
        <v>0</v>
      </c>
      <c r="X43" s="4">
        <f t="shared" si="10"/>
        <v>0</v>
      </c>
      <c r="Y43" s="4">
        <f t="shared" si="4"/>
        <v>0</v>
      </c>
    </row>
    <row r="44" spans="1:25" x14ac:dyDescent="0.35">
      <c r="A44" t="s">
        <v>107</v>
      </c>
      <c r="B44" s="3" t="s">
        <v>108</v>
      </c>
      <c r="C44" t="s">
        <v>14</v>
      </c>
      <c r="D44" t="s">
        <v>115</v>
      </c>
      <c r="E44" s="5" t="b">
        <v>0</v>
      </c>
      <c r="F44" s="5" t="b">
        <v>1</v>
      </c>
      <c r="G44" t="s">
        <v>51</v>
      </c>
      <c r="J44" s="3" t="s">
        <v>116</v>
      </c>
      <c r="M44" s="3">
        <f t="shared" si="0"/>
        <v>9</v>
      </c>
      <c r="N44" s="3" t="s">
        <v>703</v>
      </c>
      <c r="O44" s="3"/>
      <c r="P44" s="3">
        <f t="shared" si="1"/>
        <v>0</v>
      </c>
      <c r="Q44" s="3">
        <f t="shared" si="2"/>
        <v>1</v>
      </c>
      <c r="R44" s="4">
        <f t="shared" si="3"/>
        <v>0</v>
      </c>
      <c r="S44" s="4">
        <f t="shared" si="5"/>
        <v>1</v>
      </c>
      <c r="T44" s="4">
        <f t="shared" si="6"/>
        <v>0</v>
      </c>
      <c r="U44" s="4">
        <f t="shared" si="7"/>
        <v>0</v>
      </c>
      <c r="V44" s="4">
        <f t="shared" si="8"/>
        <v>0</v>
      </c>
      <c r="W44" s="4">
        <f t="shared" si="9"/>
        <v>0</v>
      </c>
      <c r="X44" s="4">
        <f t="shared" si="10"/>
        <v>0</v>
      </c>
      <c r="Y44" s="4">
        <f t="shared" si="4"/>
        <v>0</v>
      </c>
    </row>
    <row r="45" spans="1:25" x14ac:dyDescent="0.35">
      <c r="A45" t="s">
        <v>107</v>
      </c>
      <c r="B45" s="3" t="s">
        <v>108</v>
      </c>
      <c r="C45" t="s">
        <v>14</v>
      </c>
      <c r="D45" t="s">
        <v>117</v>
      </c>
      <c r="E45" t="b">
        <v>1</v>
      </c>
      <c r="F45" t="b">
        <v>0</v>
      </c>
      <c r="J45" s="3" t="s">
        <v>118</v>
      </c>
      <c r="M45" s="3">
        <f t="shared" si="0"/>
        <v>9</v>
      </c>
      <c r="N45" s="3" t="s">
        <v>715</v>
      </c>
      <c r="O45" s="3"/>
      <c r="P45" s="3">
        <f t="shared" si="1"/>
        <v>0</v>
      </c>
      <c r="Q45" s="3">
        <f t="shared" si="2"/>
        <v>0</v>
      </c>
      <c r="R45" s="4">
        <f t="shared" si="3"/>
        <v>1</v>
      </c>
      <c r="S45" s="4">
        <f t="shared" si="5"/>
        <v>0</v>
      </c>
      <c r="T45" s="4">
        <f t="shared" si="6"/>
        <v>0</v>
      </c>
      <c r="U45" s="4">
        <f t="shared" si="7"/>
        <v>0</v>
      </c>
      <c r="V45" s="4">
        <f t="shared" si="8"/>
        <v>0</v>
      </c>
      <c r="W45" s="4">
        <f t="shared" si="9"/>
        <v>1</v>
      </c>
      <c r="X45" s="4">
        <f t="shared" si="10"/>
        <v>0</v>
      </c>
      <c r="Y45" s="4">
        <f t="shared" si="4"/>
        <v>0</v>
      </c>
    </row>
    <row r="46" spans="1:25" x14ac:dyDescent="0.35">
      <c r="A46" t="s">
        <v>107</v>
      </c>
      <c r="B46" s="3" t="s">
        <v>108</v>
      </c>
      <c r="C46" t="s">
        <v>14</v>
      </c>
      <c r="D46" t="s">
        <v>119</v>
      </c>
      <c r="E46" t="b">
        <v>1</v>
      </c>
      <c r="F46" t="b">
        <v>0</v>
      </c>
      <c r="J46" s="3" t="s">
        <v>120</v>
      </c>
      <c r="M46" s="3">
        <f t="shared" si="0"/>
        <v>9</v>
      </c>
      <c r="N46" s="3" t="s">
        <v>718</v>
      </c>
      <c r="O46" s="3"/>
      <c r="P46" s="3">
        <f t="shared" si="1"/>
        <v>0</v>
      </c>
      <c r="Q46" s="3">
        <f t="shared" si="2"/>
        <v>0</v>
      </c>
      <c r="R46" s="4">
        <f t="shared" si="3"/>
        <v>1</v>
      </c>
      <c r="S46" s="4">
        <f t="shared" si="5"/>
        <v>0</v>
      </c>
      <c r="T46" s="4">
        <f t="shared" si="6"/>
        <v>0</v>
      </c>
      <c r="U46" s="4">
        <f t="shared" si="7"/>
        <v>0</v>
      </c>
      <c r="V46" s="4">
        <f t="shared" si="8"/>
        <v>1</v>
      </c>
      <c r="W46" s="4">
        <f t="shared" si="9"/>
        <v>0</v>
      </c>
      <c r="X46" s="4">
        <f t="shared" si="10"/>
        <v>0</v>
      </c>
      <c r="Y46" s="4">
        <f t="shared" si="4"/>
        <v>0</v>
      </c>
    </row>
    <row r="47" spans="1:25" x14ac:dyDescent="0.35">
      <c r="A47" t="s">
        <v>107</v>
      </c>
      <c r="B47" s="3" t="s">
        <v>108</v>
      </c>
      <c r="C47" t="s">
        <v>14</v>
      </c>
      <c r="D47" t="s">
        <v>22</v>
      </c>
      <c r="E47" t="b">
        <v>1</v>
      </c>
      <c r="F47" t="b">
        <v>0</v>
      </c>
      <c r="J47" s="3" t="s">
        <v>23</v>
      </c>
      <c r="M47" s="3">
        <f t="shared" si="0"/>
        <v>9</v>
      </c>
      <c r="N47" s="3" t="s">
        <v>718</v>
      </c>
      <c r="O47" s="3"/>
      <c r="P47" s="3">
        <f t="shared" si="1"/>
        <v>0</v>
      </c>
      <c r="Q47" s="3">
        <f t="shared" si="2"/>
        <v>0</v>
      </c>
      <c r="R47" s="4">
        <f t="shared" si="3"/>
        <v>1</v>
      </c>
      <c r="S47" s="4">
        <f t="shared" si="5"/>
        <v>0</v>
      </c>
      <c r="T47" s="4">
        <f t="shared" si="6"/>
        <v>0</v>
      </c>
      <c r="U47" s="4">
        <f t="shared" si="7"/>
        <v>0</v>
      </c>
      <c r="V47" s="4">
        <f t="shared" si="8"/>
        <v>1</v>
      </c>
      <c r="W47" s="4">
        <f t="shared" si="9"/>
        <v>0</v>
      </c>
      <c r="X47" s="4">
        <f t="shared" si="10"/>
        <v>0</v>
      </c>
      <c r="Y47" s="4">
        <f t="shared" si="4"/>
        <v>0</v>
      </c>
    </row>
    <row r="48" spans="1:25" ht="58" x14ac:dyDescent="0.35">
      <c r="A48" t="s">
        <v>121</v>
      </c>
      <c r="B48" s="3" t="s">
        <v>122</v>
      </c>
      <c r="C48" t="s">
        <v>14</v>
      </c>
      <c r="D48" t="s">
        <v>35</v>
      </c>
      <c r="E48" t="b">
        <v>0</v>
      </c>
      <c r="F48" t="b">
        <v>1</v>
      </c>
      <c r="G48" t="s">
        <v>20</v>
      </c>
      <c r="H48">
        <v>1</v>
      </c>
      <c r="I48">
        <v>0.99999279846518163</v>
      </c>
      <c r="J48" s="3" t="s">
        <v>37</v>
      </c>
      <c r="K48" s="3" t="s">
        <v>37</v>
      </c>
      <c r="L48" s="3" t="s">
        <v>37</v>
      </c>
      <c r="M48" s="3">
        <f t="shared" si="0"/>
        <v>10</v>
      </c>
      <c r="N48" s="3" t="s">
        <v>704</v>
      </c>
      <c r="O48" s="3"/>
      <c r="P48" s="3">
        <f t="shared" si="1"/>
        <v>0</v>
      </c>
      <c r="Q48" s="3">
        <f t="shared" si="2"/>
        <v>1</v>
      </c>
      <c r="R48" s="4">
        <f t="shared" si="3"/>
        <v>0</v>
      </c>
      <c r="S48" s="4">
        <f t="shared" si="5"/>
        <v>0</v>
      </c>
      <c r="T48" s="4">
        <f t="shared" si="6"/>
        <v>0</v>
      </c>
      <c r="U48" s="4">
        <f t="shared" si="7"/>
        <v>1</v>
      </c>
      <c r="V48" s="4">
        <f t="shared" si="8"/>
        <v>0</v>
      </c>
      <c r="W48" s="4">
        <f t="shared" si="9"/>
        <v>0</v>
      </c>
      <c r="X48" s="4">
        <f t="shared" si="10"/>
        <v>0</v>
      </c>
      <c r="Y48" s="4">
        <f t="shared" si="4"/>
        <v>0</v>
      </c>
    </row>
    <row r="49" spans="1:25" ht="58" x14ac:dyDescent="0.35">
      <c r="A49" t="s">
        <v>121</v>
      </c>
      <c r="B49" s="3" t="s">
        <v>122</v>
      </c>
      <c r="C49" t="s">
        <v>14</v>
      </c>
      <c r="D49" t="s">
        <v>123</v>
      </c>
      <c r="E49" t="b">
        <v>0</v>
      </c>
      <c r="F49" t="b">
        <v>1</v>
      </c>
      <c r="G49" t="s">
        <v>124</v>
      </c>
      <c r="H49">
        <v>0.9</v>
      </c>
      <c r="I49">
        <v>0.99998784263280804</v>
      </c>
      <c r="J49" s="3" t="s">
        <v>125</v>
      </c>
      <c r="K49" s="3" t="s">
        <v>125</v>
      </c>
      <c r="L49" s="3" t="s">
        <v>125</v>
      </c>
      <c r="M49" s="3">
        <f t="shared" si="0"/>
        <v>10</v>
      </c>
      <c r="N49" s="3" t="s">
        <v>709</v>
      </c>
      <c r="O49" s="3"/>
      <c r="P49" s="3">
        <f t="shared" si="1"/>
        <v>0</v>
      </c>
      <c r="Q49" s="3">
        <f t="shared" si="2"/>
        <v>1</v>
      </c>
      <c r="R49" s="4">
        <f t="shared" si="3"/>
        <v>0</v>
      </c>
      <c r="S49" s="4">
        <f t="shared" si="5"/>
        <v>0</v>
      </c>
      <c r="T49" s="4">
        <f t="shared" si="6"/>
        <v>1</v>
      </c>
      <c r="U49" s="4">
        <f t="shared" si="7"/>
        <v>0</v>
      </c>
      <c r="V49" s="4">
        <f t="shared" si="8"/>
        <v>0</v>
      </c>
      <c r="W49" s="4">
        <f t="shared" si="9"/>
        <v>0</v>
      </c>
      <c r="X49" s="4">
        <f t="shared" si="10"/>
        <v>0</v>
      </c>
      <c r="Y49" s="4">
        <f t="shared" si="4"/>
        <v>0</v>
      </c>
    </row>
    <row r="50" spans="1:25" ht="58" x14ac:dyDescent="0.35">
      <c r="A50" t="s">
        <v>121</v>
      </c>
      <c r="B50" s="3" t="s">
        <v>122</v>
      </c>
      <c r="C50" t="s">
        <v>14</v>
      </c>
      <c r="D50" t="s">
        <v>126</v>
      </c>
      <c r="E50" t="b">
        <v>0</v>
      </c>
      <c r="F50" t="b">
        <v>1</v>
      </c>
      <c r="G50" t="s">
        <v>124</v>
      </c>
      <c r="H50">
        <v>0.9</v>
      </c>
      <c r="I50">
        <v>0.99999199819994822</v>
      </c>
      <c r="J50" s="3" t="s">
        <v>127</v>
      </c>
      <c r="K50" s="3" t="s">
        <v>127</v>
      </c>
      <c r="L50" s="3" t="s">
        <v>127</v>
      </c>
      <c r="M50" s="3">
        <f t="shared" si="0"/>
        <v>10</v>
      </c>
      <c r="N50" s="3" t="s">
        <v>709</v>
      </c>
      <c r="O50" s="3"/>
      <c r="P50" s="3">
        <f t="shared" si="1"/>
        <v>0</v>
      </c>
      <c r="Q50" s="3">
        <f t="shared" si="2"/>
        <v>1</v>
      </c>
      <c r="R50" s="4">
        <f t="shared" si="3"/>
        <v>0</v>
      </c>
      <c r="S50" s="4">
        <f t="shared" si="5"/>
        <v>0</v>
      </c>
      <c r="T50" s="4">
        <f t="shared" si="6"/>
        <v>1</v>
      </c>
      <c r="U50" s="4">
        <f t="shared" si="7"/>
        <v>0</v>
      </c>
      <c r="V50" s="4">
        <f t="shared" si="8"/>
        <v>0</v>
      </c>
      <c r="W50" s="4">
        <f t="shared" si="9"/>
        <v>0</v>
      </c>
      <c r="X50" s="4">
        <f t="shared" si="10"/>
        <v>0</v>
      </c>
      <c r="Y50" s="4">
        <f t="shared" si="4"/>
        <v>0</v>
      </c>
    </row>
    <row r="51" spans="1:25" ht="58" x14ac:dyDescent="0.35">
      <c r="A51" t="s">
        <v>121</v>
      </c>
      <c r="B51" s="3" t="s">
        <v>122</v>
      </c>
      <c r="C51" t="s">
        <v>14</v>
      </c>
      <c r="D51" t="s">
        <v>100</v>
      </c>
      <c r="E51" t="b">
        <v>0</v>
      </c>
      <c r="F51" t="b">
        <v>1</v>
      </c>
      <c r="G51" t="s">
        <v>51</v>
      </c>
      <c r="H51">
        <v>0.9</v>
      </c>
      <c r="I51">
        <v>0.99999161851377483</v>
      </c>
      <c r="J51" s="3" t="s">
        <v>101</v>
      </c>
      <c r="K51" s="3" t="s">
        <v>128</v>
      </c>
      <c r="L51" s="3" t="s">
        <v>128</v>
      </c>
      <c r="M51" s="3">
        <f t="shared" si="0"/>
        <v>10</v>
      </c>
      <c r="N51" s="3" t="s">
        <v>703</v>
      </c>
      <c r="O51" s="3"/>
      <c r="P51" s="3">
        <f t="shared" si="1"/>
        <v>0</v>
      </c>
      <c r="Q51" s="3">
        <f t="shared" si="2"/>
        <v>1</v>
      </c>
      <c r="R51" s="4">
        <f t="shared" si="3"/>
        <v>0</v>
      </c>
      <c r="S51" s="4">
        <f t="shared" si="5"/>
        <v>1</v>
      </c>
      <c r="T51" s="4">
        <f t="shared" si="6"/>
        <v>0</v>
      </c>
      <c r="U51" s="4">
        <f t="shared" si="7"/>
        <v>0</v>
      </c>
      <c r="V51" s="4">
        <f t="shared" si="8"/>
        <v>0</v>
      </c>
      <c r="W51" s="4">
        <f t="shared" si="9"/>
        <v>0</v>
      </c>
      <c r="X51" s="4">
        <f t="shared" si="10"/>
        <v>0</v>
      </c>
      <c r="Y51" s="4">
        <f t="shared" si="4"/>
        <v>0</v>
      </c>
    </row>
    <row r="52" spans="1:25" ht="58" x14ac:dyDescent="0.35">
      <c r="A52" t="s">
        <v>121</v>
      </c>
      <c r="B52" s="3" t="s">
        <v>122</v>
      </c>
      <c r="C52" t="s">
        <v>14</v>
      </c>
      <c r="D52" t="s">
        <v>50</v>
      </c>
      <c r="E52" t="b">
        <v>0</v>
      </c>
      <c r="F52" t="b">
        <v>1</v>
      </c>
      <c r="G52" t="s">
        <v>124</v>
      </c>
      <c r="H52">
        <v>0.9</v>
      </c>
      <c r="I52">
        <v>0.99999173023457721</v>
      </c>
      <c r="J52" s="3" t="s">
        <v>52</v>
      </c>
      <c r="K52" s="3" t="s">
        <v>52</v>
      </c>
      <c r="L52" s="3" t="s">
        <v>52</v>
      </c>
      <c r="M52" s="3">
        <f t="shared" si="0"/>
        <v>10</v>
      </c>
      <c r="N52" s="3" t="s">
        <v>709</v>
      </c>
      <c r="O52" s="3"/>
      <c r="P52" s="3">
        <f t="shared" si="1"/>
        <v>0</v>
      </c>
      <c r="Q52" s="3">
        <f t="shared" si="2"/>
        <v>1</v>
      </c>
      <c r="R52" s="4">
        <f t="shared" si="3"/>
        <v>0</v>
      </c>
      <c r="S52" s="4">
        <f t="shared" si="5"/>
        <v>0</v>
      </c>
      <c r="T52" s="4">
        <f t="shared" si="6"/>
        <v>1</v>
      </c>
      <c r="U52" s="4">
        <f t="shared" si="7"/>
        <v>0</v>
      </c>
      <c r="V52" s="4">
        <f t="shared" si="8"/>
        <v>0</v>
      </c>
      <c r="W52" s="4">
        <f t="shared" si="9"/>
        <v>0</v>
      </c>
      <c r="X52" s="4">
        <f t="shared" si="10"/>
        <v>0</v>
      </c>
      <c r="Y52" s="4">
        <f t="shared" si="4"/>
        <v>0</v>
      </c>
    </row>
    <row r="53" spans="1:25" ht="58" x14ac:dyDescent="0.35">
      <c r="A53" t="s">
        <v>121</v>
      </c>
      <c r="B53" s="3" t="s">
        <v>122</v>
      </c>
      <c r="C53" t="s">
        <v>14</v>
      </c>
      <c r="D53" t="s">
        <v>27</v>
      </c>
      <c r="E53" t="b">
        <v>0</v>
      </c>
      <c r="F53" t="b">
        <v>1</v>
      </c>
      <c r="G53" t="s">
        <v>51</v>
      </c>
      <c r="H53">
        <v>0.8</v>
      </c>
      <c r="I53">
        <v>0.99999048766157617</v>
      </c>
      <c r="J53" s="3" t="s">
        <v>28</v>
      </c>
      <c r="K53" s="3" t="s">
        <v>28</v>
      </c>
      <c r="L53" s="3" t="s">
        <v>28</v>
      </c>
      <c r="M53" s="3">
        <f t="shared" si="0"/>
        <v>10</v>
      </c>
      <c r="N53" s="3" t="s">
        <v>703</v>
      </c>
      <c r="O53" s="3"/>
      <c r="P53" s="3">
        <f t="shared" si="1"/>
        <v>0</v>
      </c>
      <c r="Q53" s="3">
        <f t="shared" si="2"/>
        <v>1</v>
      </c>
      <c r="R53" s="4">
        <f t="shared" si="3"/>
        <v>0</v>
      </c>
      <c r="S53" s="4">
        <f t="shared" si="5"/>
        <v>1</v>
      </c>
      <c r="T53" s="4">
        <f t="shared" si="6"/>
        <v>0</v>
      </c>
      <c r="U53" s="4">
        <f t="shared" si="7"/>
        <v>0</v>
      </c>
      <c r="V53" s="4">
        <f t="shared" si="8"/>
        <v>0</v>
      </c>
      <c r="W53" s="4">
        <f t="shared" si="9"/>
        <v>0</v>
      </c>
      <c r="X53" s="4">
        <f t="shared" si="10"/>
        <v>0</v>
      </c>
      <c r="Y53" s="4">
        <f t="shared" si="4"/>
        <v>0</v>
      </c>
    </row>
    <row r="54" spans="1:25" ht="58" x14ac:dyDescent="0.35">
      <c r="A54" t="s">
        <v>121</v>
      </c>
      <c r="B54" s="3" t="s">
        <v>122</v>
      </c>
      <c r="C54" t="s">
        <v>14</v>
      </c>
      <c r="D54" t="s">
        <v>22</v>
      </c>
      <c r="E54" t="b">
        <v>1</v>
      </c>
      <c r="F54" t="b">
        <v>0</v>
      </c>
      <c r="J54" s="3" t="s">
        <v>23</v>
      </c>
      <c r="M54" s="3">
        <f t="shared" si="0"/>
        <v>10</v>
      </c>
      <c r="N54" s="3" t="s">
        <v>718</v>
      </c>
      <c r="O54" s="3"/>
      <c r="P54" s="3">
        <f t="shared" si="1"/>
        <v>0</v>
      </c>
      <c r="Q54" s="3">
        <f t="shared" si="2"/>
        <v>0</v>
      </c>
      <c r="R54" s="4">
        <f t="shared" si="3"/>
        <v>1</v>
      </c>
      <c r="S54" s="4">
        <f t="shared" si="5"/>
        <v>0</v>
      </c>
      <c r="T54" s="4">
        <f t="shared" si="6"/>
        <v>0</v>
      </c>
      <c r="U54" s="4">
        <f t="shared" si="7"/>
        <v>0</v>
      </c>
      <c r="V54" s="4">
        <f t="shared" si="8"/>
        <v>1</v>
      </c>
      <c r="W54" s="4">
        <f t="shared" si="9"/>
        <v>0</v>
      </c>
      <c r="X54" s="4">
        <f t="shared" si="10"/>
        <v>0</v>
      </c>
      <c r="Y54" s="4">
        <f t="shared" si="4"/>
        <v>0</v>
      </c>
    </row>
    <row r="55" spans="1:25" ht="29" x14ac:dyDescent="0.35">
      <c r="A55" t="s">
        <v>129</v>
      </c>
      <c r="B55" s="3" t="s">
        <v>130</v>
      </c>
      <c r="C55" t="s">
        <v>131</v>
      </c>
      <c r="D55" t="s">
        <v>132</v>
      </c>
      <c r="E55" t="b">
        <v>0</v>
      </c>
      <c r="F55" t="b">
        <v>1</v>
      </c>
      <c r="G55" t="s">
        <v>36</v>
      </c>
      <c r="H55">
        <v>1</v>
      </c>
      <c r="I55">
        <v>0.99999087798932396</v>
      </c>
      <c r="J55" s="3" t="s">
        <v>133</v>
      </c>
      <c r="K55" s="3" t="s">
        <v>133</v>
      </c>
      <c r="L55" s="3" t="s">
        <v>133</v>
      </c>
      <c r="M55" s="3">
        <f t="shared" si="0"/>
        <v>11</v>
      </c>
      <c r="N55" s="3" t="s">
        <v>709</v>
      </c>
      <c r="O55" s="3"/>
      <c r="P55" s="3">
        <f t="shared" si="1"/>
        <v>0</v>
      </c>
      <c r="Q55" s="3">
        <f t="shared" si="2"/>
        <v>1</v>
      </c>
      <c r="R55" s="4">
        <f t="shared" si="3"/>
        <v>0</v>
      </c>
      <c r="S55" s="4">
        <f t="shared" si="5"/>
        <v>0</v>
      </c>
      <c r="T55" s="4">
        <f t="shared" si="6"/>
        <v>1</v>
      </c>
      <c r="U55" s="4">
        <f t="shared" si="7"/>
        <v>0</v>
      </c>
      <c r="V55" s="4">
        <f t="shared" si="8"/>
        <v>0</v>
      </c>
      <c r="W55" s="4">
        <f t="shared" si="9"/>
        <v>0</v>
      </c>
      <c r="X55" s="4">
        <f t="shared" si="10"/>
        <v>0</v>
      </c>
      <c r="Y55" s="4">
        <f t="shared" si="4"/>
        <v>0</v>
      </c>
    </row>
    <row r="56" spans="1:25" ht="29" x14ac:dyDescent="0.35">
      <c r="A56" t="s">
        <v>129</v>
      </c>
      <c r="B56" s="3" t="s">
        <v>130</v>
      </c>
      <c r="C56" t="s">
        <v>131</v>
      </c>
      <c r="D56" t="s">
        <v>134</v>
      </c>
      <c r="E56" t="b">
        <v>0</v>
      </c>
      <c r="F56" t="b">
        <v>1</v>
      </c>
      <c r="G56" t="s">
        <v>51</v>
      </c>
      <c r="H56">
        <v>1</v>
      </c>
      <c r="I56">
        <v>0.9999881876812392</v>
      </c>
      <c r="J56" s="3" t="s">
        <v>135</v>
      </c>
      <c r="K56" s="3" t="s">
        <v>135</v>
      </c>
      <c r="L56" s="3" t="s">
        <v>135</v>
      </c>
      <c r="M56" s="3">
        <f t="shared" si="0"/>
        <v>11</v>
      </c>
      <c r="N56" s="3" t="s">
        <v>703</v>
      </c>
      <c r="O56" s="3"/>
      <c r="P56" s="3">
        <f t="shared" si="1"/>
        <v>0</v>
      </c>
      <c r="Q56" s="3">
        <f t="shared" si="2"/>
        <v>1</v>
      </c>
      <c r="R56" s="4">
        <f t="shared" si="3"/>
        <v>0</v>
      </c>
      <c r="S56" s="4">
        <f t="shared" si="5"/>
        <v>1</v>
      </c>
      <c r="T56" s="4">
        <f t="shared" si="6"/>
        <v>0</v>
      </c>
      <c r="U56" s="4">
        <f t="shared" si="7"/>
        <v>0</v>
      </c>
      <c r="V56" s="4">
        <f t="shared" si="8"/>
        <v>0</v>
      </c>
      <c r="W56" s="4">
        <f t="shared" si="9"/>
        <v>0</v>
      </c>
      <c r="X56" s="4">
        <f t="shared" si="10"/>
        <v>0</v>
      </c>
      <c r="Y56" s="4">
        <f t="shared" si="4"/>
        <v>0</v>
      </c>
    </row>
    <row r="57" spans="1:25" ht="29" x14ac:dyDescent="0.35">
      <c r="A57" t="s">
        <v>129</v>
      </c>
      <c r="B57" s="3" t="s">
        <v>130</v>
      </c>
      <c r="C57" t="s">
        <v>131</v>
      </c>
      <c r="D57" t="s">
        <v>136</v>
      </c>
      <c r="E57" t="b">
        <v>1</v>
      </c>
      <c r="F57" t="b">
        <v>1</v>
      </c>
      <c r="G57" t="s">
        <v>20</v>
      </c>
      <c r="H57">
        <v>0.9</v>
      </c>
      <c r="I57">
        <v>0.99998367620780937</v>
      </c>
      <c r="J57" s="3" t="s">
        <v>137</v>
      </c>
      <c r="K57" s="3" t="s">
        <v>138</v>
      </c>
      <c r="L57" s="3" t="s">
        <v>138</v>
      </c>
      <c r="M57" s="3">
        <f t="shared" si="0"/>
        <v>11</v>
      </c>
      <c r="N57" s="3" t="s">
        <v>720</v>
      </c>
      <c r="O57" s="3"/>
      <c r="P57" s="3">
        <f t="shared" si="1"/>
        <v>1</v>
      </c>
      <c r="Q57" s="3">
        <f t="shared" si="2"/>
        <v>0</v>
      </c>
      <c r="R57" s="4">
        <f t="shared" si="3"/>
        <v>0</v>
      </c>
      <c r="S57" s="4">
        <f t="shared" si="5"/>
        <v>0</v>
      </c>
      <c r="T57" s="4">
        <f t="shared" si="6"/>
        <v>0</v>
      </c>
      <c r="U57" s="4">
        <f t="shared" si="7"/>
        <v>0</v>
      </c>
      <c r="V57" s="4">
        <f t="shared" si="8"/>
        <v>0</v>
      </c>
      <c r="W57" s="4">
        <f t="shared" si="9"/>
        <v>0</v>
      </c>
      <c r="X57" s="4">
        <f t="shared" si="10"/>
        <v>0</v>
      </c>
      <c r="Y57" s="4">
        <f t="shared" si="4"/>
        <v>0</v>
      </c>
    </row>
    <row r="58" spans="1:25" ht="29" x14ac:dyDescent="0.35">
      <c r="A58" t="s">
        <v>129</v>
      </c>
      <c r="B58" s="3" t="s">
        <v>130</v>
      </c>
      <c r="C58" t="s">
        <v>131</v>
      </c>
      <c r="D58" t="s">
        <v>139</v>
      </c>
      <c r="E58" t="b">
        <v>1</v>
      </c>
      <c r="F58" t="b">
        <v>0</v>
      </c>
      <c r="J58" s="3" t="s">
        <v>140</v>
      </c>
      <c r="M58" s="3">
        <f t="shared" si="0"/>
        <v>11</v>
      </c>
      <c r="N58" s="3" t="s">
        <v>718</v>
      </c>
      <c r="O58" s="3"/>
      <c r="P58" s="3">
        <f t="shared" si="1"/>
        <v>0</v>
      </c>
      <c r="Q58" s="3">
        <f t="shared" si="2"/>
        <v>0</v>
      </c>
      <c r="R58" s="4">
        <f t="shared" si="3"/>
        <v>1</v>
      </c>
      <c r="S58" s="4">
        <f t="shared" si="5"/>
        <v>0</v>
      </c>
      <c r="T58" s="4">
        <f t="shared" si="6"/>
        <v>0</v>
      </c>
      <c r="U58" s="4">
        <f t="shared" si="7"/>
        <v>0</v>
      </c>
      <c r="V58" s="4">
        <f t="shared" si="8"/>
        <v>1</v>
      </c>
      <c r="W58" s="4">
        <f t="shared" si="9"/>
        <v>0</v>
      </c>
      <c r="X58" s="4">
        <f t="shared" si="10"/>
        <v>0</v>
      </c>
      <c r="Y58" s="4">
        <f t="shared" si="4"/>
        <v>0</v>
      </c>
    </row>
    <row r="59" spans="1:25" ht="29" x14ac:dyDescent="0.35">
      <c r="A59" t="s">
        <v>129</v>
      </c>
      <c r="B59" s="3" t="s">
        <v>130</v>
      </c>
      <c r="C59" t="s">
        <v>131</v>
      </c>
      <c r="D59" t="s">
        <v>22</v>
      </c>
      <c r="E59" t="b">
        <v>1</v>
      </c>
      <c r="F59" t="b">
        <v>0</v>
      </c>
      <c r="J59" s="3" t="s">
        <v>23</v>
      </c>
      <c r="M59" s="3">
        <f t="shared" si="0"/>
        <v>11</v>
      </c>
      <c r="N59" s="3" t="s">
        <v>718</v>
      </c>
      <c r="O59" s="3"/>
      <c r="P59" s="3">
        <f t="shared" ref="P59:P110" si="11">IF(AND(E59,F59),1,0)</f>
        <v>0</v>
      </c>
      <c r="Q59" s="3">
        <f t="shared" ref="Q59:Q110" si="12">IF(AND(NOT(E59),F59),1,0)</f>
        <v>0</v>
      </c>
      <c r="R59" s="4">
        <f t="shared" ref="R59:R110" si="13">IF(AND(E59,NOT(F59)),1,0)</f>
        <v>1</v>
      </c>
      <c r="S59" s="4">
        <f t="shared" si="5"/>
        <v>0</v>
      </c>
      <c r="T59" s="4">
        <f t="shared" si="6"/>
        <v>0</v>
      </c>
      <c r="U59" s="4">
        <f t="shared" si="7"/>
        <v>0</v>
      </c>
      <c r="V59" s="4">
        <f t="shared" si="8"/>
        <v>1</v>
      </c>
      <c r="W59" s="4">
        <f t="shared" si="9"/>
        <v>0</v>
      </c>
      <c r="X59" s="4">
        <f t="shared" si="10"/>
        <v>0</v>
      </c>
      <c r="Y59" s="4">
        <f t="shared" si="4"/>
        <v>0</v>
      </c>
    </row>
    <row r="60" spans="1:25" ht="29" x14ac:dyDescent="0.35">
      <c r="A60" t="s">
        <v>129</v>
      </c>
      <c r="B60" s="3" t="s">
        <v>130</v>
      </c>
      <c r="C60" t="s">
        <v>131</v>
      </c>
      <c r="D60" t="s">
        <v>141</v>
      </c>
      <c r="E60" t="b">
        <v>1</v>
      </c>
      <c r="F60" t="b">
        <v>0</v>
      </c>
      <c r="J60" s="3" t="s">
        <v>142</v>
      </c>
      <c r="M60" s="3">
        <f t="shared" si="0"/>
        <v>11</v>
      </c>
      <c r="N60" s="3" t="s">
        <v>715</v>
      </c>
      <c r="O60" s="3"/>
      <c r="P60" s="3">
        <f t="shared" si="11"/>
        <v>0</v>
      </c>
      <c r="Q60" s="3">
        <f t="shared" si="12"/>
        <v>0</v>
      </c>
      <c r="R60" s="4">
        <f t="shared" si="13"/>
        <v>1</v>
      </c>
      <c r="S60" s="4">
        <f t="shared" si="5"/>
        <v>0</v>
      </c>
      <c r="T60" s="4">
        <f t="shared" si="6"/>
        <v>0</v>
      </c>
      <c r="U60" s="4">
        <f t="shared" si="7"/>
        <v>0</v>
      </c>
      <c r="V60" s="4">
        <f t="shared" si="8"/>
        <v>0</v>
      </c>
      <c r="W60" s="4">
        <f t="shared" si="9"/>
        <v>1</v>
      </c>
      <c r="X60" s="4">
        <f t="shared" si="10"/>
        <v>0</v>
      </c>
      <c r="Y60" s="4">
        <f t="shared" si="4"/>
        <v>0</v>
      </c>
    </row>
    <row r="61" spans="1:25" ht="29" x14ac:dyDescent="0.35">
      <c r="A61" t="s">
        <v>129</v>
      </c>
      <c r="B61" s="3" t="s">
        <v>130</v>
      </c>
      <c r="C61" t="s">
        <v>131</v>
      </c>
      <c r="D61" t="s">
        <v>143</v>
      </c>
      <c r="E61" t="b">
        <v>1</v>
      </c>
      <c r="F61" t="b">
        <v>0</v>
      </c>
      <c r="J61" s="3" t="s">
        <v>144</v>
      </c>
      <c r="M61" s="3">
        <f t="shared" si="0"/>
        <v>11</v>
      </c>
      <c r="N61" s="3" t="s">
        <v>718</v>
      </c>
      <c r="O61" s="3"/>
      <c r="P61" s="3">
        <f t="shared" si="11"/>
        <v>0</v>
      </c>
      <c r="Q61" s="3">
        <f t="shared" si="12"/>
        <v>0</v>
      </c>
      <c r="R61" s="4">
        <f t="shared" si="13"/>
        <v>1</v>
      </c>
      <c r="S61" s="4">
        <f t="shared" si="5"/>
        <v>0</v>
      </c>
      <c r="T61" s="4">
        <f t="shared" si="6"/>
        <v>0</v>
      </c>
      <c r="U61" s="4">
        <f t="shared" si="7"/>
        <v>0</v>
      </c>
      <c r="V61" s="4">
        <f t="shared" si="8"/>
        <v>1</v>
      </c>
      <c r="W61" s="4">
        <f t="shared" si="9"/>
        <v>0</v>
      </c>
      <c r="X61" s="4">
        <f t="shared" si="10"/>
        <v>0</v>
      </c>
      <c r="Y61" s="4">
        <f t="shared" si="4"/>
        <v>0</v>
      </c>
    </row>
    <row r="62" spans="1:25" ht="29" x14ac:dyDescent="0.35">
      <c r="A62" t="s">
        <v>145</v>
      </c>
      <c r="B62" s="3" t="s">
        <v>146</v>
      </c>
      <c r="C62" t="s">
        <v>131</v>
      </c>
      <c r="D62" t="s">
        <v>147</v>
      </c>
      <c r="E62" t="b">
        <v>0</v>
      </c>
      <c r="F62" t="b">
        <v>1</v>
      </c>
      <c r="G62" t="s">
        <v>51</v>
      </c>
      <c r="H62">
        <v>1</v>
      </c>
      <c r="I62">
        <v>0.99999129043751678</v>
      </c>
      <c r="J62" s="3" t="s">
        <v>148</v>
      </c>
      <c r="K62" s="3" t="s">
        <v>148</v>
      </c>
      <c r="L62" s="3" t="s">
        <v>148</v>
      </c>
      <c r="M62" s="3">
        <f t="shared" si="0"/>
        <v>12</v>
      </c>
      <c r="N62" s="3" t="s">
        <v>703</v>
      </c>
      <c r="O62" s="3"/>
      <c r="P62" s="3">
        <f t="shared" si="11"/>
        <v>0</v>
      </c>
      <c r="Q62" s="3">
        <f t="shared" si="12"/>
        <v>1</v>
      </c>
      <c r="R62" s="4">
        <f t="shared" si="13"/>
        <v>0</v>
      </c>
      <c r="S62" s="4">
        <f t="shared" si="5"/>
        <v>1</v>
      </c>
      <c r="T62" s="4">
        <f t="shared" si="6"/>
        <v>0</v>
      </c>
      <c r="U62" s="4">
        <f t="shared" si="7"/>
        <v>0</v>
      </c>
      <c r="V62" s="4">
        <f t="shared" si="8"/>
        <v>0</v>
      </c>
      <c r="W62" s="4">
        <f t="shared" si="9"/>
        <v>0</v>
      </c>
      <c r="X62" s="4">
        <f t="shared" si="10"/>
        <v>0</v>
      </c>
      <c r="Y62" s="4">
        <f t="shared" si="4"/>
        <v>0</v>
      </c>
    </row>
    <row r="63" spans="1:25" ht="29" x14ac:dyDescent="0.35">
      <c r="A63" t="s">
        <v>145</v>
      </c>
      <c r="B63" s="3" t="s">
        <v>146</v>
      </c>
      <c r="C63" t="s">
        <v>131</v>
      </c>
      <c r="D63" t="s">
        <v>149</v>
      </c>
      <c r="E63" t="b">
        <v>0</v>
      </c>
      <c r="F63" t="b">
        <v>1</v>
      </c>
      <c r="G63" t="s">
        <v>124</v>
      </c>
      <c r="H63">
        <v>0.9</v>
      </c>
      <c r="I63">
        <v>0.9999698879848572</v>
      </c>
      <c r="J63" s="3" t="s">
        <v>150</v>
      </c>
      <c r="K63" s="3" t="s">
        <v>150</v>
      </c>
      <c r="L63" s="3" t="s">
        <v>150</v>
      </c>
      <c r="M63" s="3">
        <f t="shared" si="0"/>
        <v>12</v>
      </c>
      <c r="N63" s="3" t="s">
        <v>709</v>
      </c>
      <c r="O63" s="3"/>
      <c r="P63" s="3">
        <f t="shared" si="11"/>
        <v>0</v>
      </c>
      <c r="Q63" s="3">
        <f t="shared" si="12"/>
        <v>1</v>
      </c>
      <c r="R63" s="4">
        <f t="shared" si="13"/>
        <v>0</v>
      </c>
      <c r="S63" s="4">
        <f t="shared" si="5"/>
        <v>0</v>
      </c>
      <c r="T63" s="4">
        <f t="shared" si="6"/>
        <v>1</v>
      </c>
      <c r="U63" s="4">
        <f t="shared" si="7"/>
        <v>0</v>
      </c>
      <c r="V63" s="4">
        <f t="shared" si="8"/>
        <v>0</v>
      </c>
      <c r="W63" s="4">
        <f t="shared" si="9"/>
        <v>0</v>
      </c>
      <c r="X63" s="4">
        <f t="shared" si="10"/>
        <v>0</v>
      </c>
      <c r="Y63" s="4">
        <f t="shared" si="4"/>
        <v>0</v>
      </c>
    </row>
    <row r="64" spans="1:25" ht="29" x14ac:dyDescent="0.35">
      <c r="A64" t="s">
        <v>145</v>
      </c>
      <c r="B64" s="3" t="s">
        <v>146</v>
      </c>
      <c r="C64" t="s">
        <v>131</v>
      </c>
      <c r="D64" t="s">
        <v>151</v>
      </c>
      <c r="E64" t="b">
        <v>0</v>
      </c>
      <c r="F64" t="b">
        <v>1</v>
      </c>
      <c r="G64" t="s">
        <v>16</v>
      </c>
      <c r="H64">
        <v>0.9</v>
      </c>
      <c r="I64">
        <v>0.99999157270583883</v>
      </c>
      <c r="J64" s="3" t="s">
        <v>152</v>
      </c>
      <c r="K64" s="3" t="s">
        <v>152</v>
      </c>
      <c r="L64" s="3" t="s">
        <v>152</v>
      </c>
      <c r="M64" s="3">
        <f t="shared" si="0"/>
        <v>12</v>
      </c>
      <c r="N64" s="3" t="s">
        <v>703</v>
      </c>
      <c r="O64" s="3"/>
      <c r="P64" s="3">
        <f t="shared" si="11"/>
        <v>0</v>
      </c>
      <c r="Q64" s="3">
        <f t="shared" si="12"/>
        <v>1</v>
      </c>
      <c r="R64" s="4">
        <f t="shared" si="13"/>
        <v>0</v>
      </c>
      <c r="S64" s="4">
        <f t="shared" si="5"/>
        <v>1</v>
      </c>
      <c r="T64" s="4">
        <f t="shared" si="6"/>
        <v>0</v>
      </c>
      <c r="U64" s="4">
        <f t="shared" si="7"/>
        <v>0</v>
      </c>
      <c r="V64" s="4">
        <f t="shared" si="8"/>
        <v>0</v>
      </c>
      <c r="W64" s="4">
        <f t="shared" si="9"/>
        <v>0</v>
      </c>
      <c r="X64" s="4">
        <f t="shared" si="10"/>
        <v>0</v>
      </c>
      <c r="Y64" s="4">
        <f t="shared" si="4"/>
        <v>0</v>
      </c>
    </row>
    <row r="65" spans="1:25" ht="29" x14ac:dyDescent="0.35">
      <c r="A65" t="s">
        <v>145</v>
      </c>
      <c r="B65" s="3" t="s">
        <v>146</v>
      </c>
      <c r="C65" t="s">
        <v>131</v>
      </c>
      <c r="D65" t="s">
        <v>153</v>
      </c>
      <c r="E65" t="b">
        <v>0</v>
      </c>
      <c r="F65" t="b">
        <v>1</v>
      </c>
      <c r="G65" t="s">
        <v>51</v>
      </c>
      <c r="H65">
        <v>0.8</v>
      </c>
      <c r="I65">
        <v>0.87894925168161542</v>
      </c>
      <c r="J65" s="3" t="s">
        <v>154</v>
      </c>
      <c r="K65" s="3" t="s">
        <v>154</v>
      </c>
      <c r="L65" s="3" t="s">
        <v>155</v>
      </c>
      <c r="M65" s="3">
        <f t="shared" si="0"/>
        <v>12</v>
      </c>
      <c r="N65" s="3" t="s">
        <v>703</v>
      </c>
      <c r="O65" s="3" t="s">
        <v>712</v>
      </c>
      <c r="P65" s="3">
        <f t="shared" si="11"/>
        <v>0</v>
      </c>
      <c r="Q65" s="3">
        <f t="shared" si="12"/>
        <v>1</v>
      </c>
      <c r="R65" s="4">
        <f t="shared" si="13"/>
        <v>0</v>
      </c>
      <c r="S65" s="4">
        <f t="shared" si="5"/>
        <v>1</v>
      </c>
      <c r="T65" s="4">
        <f t="shared" si="6"/>
        <v>0</v>
      </c>
      <c r="U65" s="4">
        <f t="shared" si="7"/>
        <v>0</v>
      </c>
      <c r="V65" s="4">
        <f t="shared" si="8"/>
        <v>0</v>
      </c>
      <c r="W65" s="4">
        <f t="shared" si="9"/>
        <v>0</v>
      </c>
      <c r="X65" s="4">
        <f t="shared" si="10"/>
        <v>1</v>
      </c>
      <c r="Y65" s="4">
        <f t="shared" si="4"/>
        <v>0</v>
      </c>
    </row>
    <row r="66" spans="1:25" ht="29" x14ac:dyDescent="0.35">
      <c r="A66" t="s">
        <v>145</v>
      </c>
      <c r="B66" s="3" t="s">
        <v>146</v>
      </c>
      <c r="C66" t="s">
        <v>131</v>
      </c>
      <c r="D66" t="s">
        <v>156</v>
      </c>
      <c r="E66" t="b">
        <v>0</v>
      </c>
      <c r="F66" t="b">
        <v>1</v>
      </c>
      <c r="G66" t="s">
        <v>157</v>
      </c>
      <c r="H66">
        <v>0.8</v>
      </c>
      <c r="I66">
        <v>0.99999428331463081</v>
      </c>
      <c r="J66" s="3" t="s">
        <v>158</v>
      </c>
      <c r="K66" s="3" t="s">
        <v>158</v>
      </c>
      <c r="L66" s="3" t="s">
        <v>158</v>
      </c>
      <c r="M66" s="3">
        <f t="shared" ref="M66:M129" si="14">IF(A66&lt;&gt;A65,M65 + 1, M65)</f>
        <v>12</v>
      </c>
      <c r="N66" s="3" t="s">
        <v>704</v>
      </c>
      <c r="O66" s="3"/>
      <c r="P66" s="3">
        <f t="shared" si="11"/>
        <v>0</v>
      </c>
      <c r="Q66" s="3">
        <f t="shared" si="12"/>
        <v>1</v>
      </c>
      <c r="R66" s="4">
        <f t="shared" si="13"/>
        <v>0</v>
      </c>
      <c r="S66" s="4">
        <f t="shared" si="5"/>
        <v>0</v>
      </c>
      <c r="T66" s="4">
        <f t="shared" si="6"/>
        <v>0</v>
      </c>
      <c r="U66" s="4">
        <f t="shared" si="7"/>
        <v>1</v>
      </c>
      <c r="V66" s="4">
        <f t="shared" si="8"/>
        <v>0</v>
      </c>
      <c r="W66" s="4">
        <f t="shared" si="9"/>
        <v>0</v>
      </c>
      <c r="X66" s="4">
        <f t="shared" si="10"/>
        <v>0</v>
      </c>
      <c r="Y66" s="4">
        <f t="shared" ref="Y66:Y129" si="15">IF($O66="MEA", 1, 0)</f>
        <v>0</v>
      </c>
    </row>
    <row r="67" spans="1:25" ht="29" x14ac:dyDescent="0.35">
      <c r="A67" t="s">
        <v>145</v>
      </c>
      <c r="B67" s="3" t="s">
        <v>146</v>
      </c>
      <c r="C67" t="s">
        <v>131</v>
      </c>
      <c r="D67" t="s">
        <v>159</v>
      </c>
      <c r="E67" t="b">
        <v>1</v>
      </c>
      <c r="F67" t="b">
        <v>0</v>
      </c>
      <c r="J67" s="3" t="s">
        <v>160</v>
      </c>
      <c r="M67" s="3">
        <f t="shared" si="14"/>
        <v>12</v>
      </c>
      <c r="N67" s="3" t="s">
        <v>718</v>
      </c>
      <c r="O67" s="3"/>
      <c r="P67" s="3">
        <f t="shared" si="11"/>
        <v>0</v>
      </c>
      <c r="Q67" s="3">
        <f t="shared" si="12"/>
        <v>0</v>
      </c>
      <c r="R67" s="4">
        <f t="shared" si="13"/>
        <v>1</v>
      </c>
      <c r="S67" s="4">
        <f t="shared" ref="S67:S130" si="16">IF($N67="FP0", 1, 0)</f>
        <v>0</v>
      </c>
      <c r="T67" s="4">
        <f t="shared" ref="T67:T130" si="17">IF($N67="FP1", 1, 0)</f>
        <v>0</v>
      </c>
      <c r="U67" s="4">
        <f t="shared" ref="U67:U130" si="18">IF($N67="FP2", 1, 0)</f>
        <v>0</v>
      </c>
      <c r="V67" s="4">
        <f t="shared" ref="V67:V130" si="19">IF($N67="FNM", 1, 0)</f>
        <v>1</v>
      </c>
      <c r="W67" s="4">
        <f t="shared" ref="W67:W130" si="20">IF($N67="FNC", 1, 0)</f>
        <v>0</v>
      </c>
      <c r="X67" s="4">
        <f t="shared" ref="X67:X130" si="21">IF($O67="MEU", 1, 0)</f>
        <v>0</v>
      </c>
      <c r="Y67" s="4">
        <f t="shared" si="15"/>
        <v>0</v>
      </c>
    </row>
    <row r="68" spans="1:25" ht="29" x14ac:dyDescent="0.35">
      <c r="A68" t="s">
        <v>161</v>
      </c>
      <c r="B68" s="3" t="s">
        <v>162</v>
      </c>
      <c r="C68" t="s">
        <v>131</v>
      </c>
      <c r="D68" t="s">
        <v>163</v>
      </c>
      <c r="E68" t="b">
        <v>1</v>
      </c>
      <c r="F68" t="b">
        <v>1</v>
      </c>
      <c r="G68" t="s">
        <v>20</v>
      </c>
      <c r="H68">
        <v>1</v>
      </c>
      <c r="I68">
        <v>0.99999248292919041</v>
      </c>
      <c r="J68" s="3" t="s">
        <v>164</v>
      </c>
      <c r="K68" s="3" t="s">
        <v>164</v>
      </c>
      <c r="L68" s="3" t="s">
        <v>164</v>
      </c>
      <c r="M68" s="3">
        <f t="shared" si="14"/>
        <v>13</v>
      </c>
      <c r="N68" s="3" t="s">
        <v>720</v>
      </c>
      <c r="O68" s="3"/>
      <c r="P68" s="3">
        <f t="shared" si="11"/>
        <v>1</v>
      </c>
      <c r="Q68" s="3">
        <f t="shared" si="12"/>
        <v>0</v>
      </c>
      <c r="R68" s="4">
        <f t="shared" si="13"/>
        <v>0</v>
      </c>
      <c r="S68" s="4">
        <f t="shared" si="16"/>
        <v>0</v>
      </c>
      <c r="T68" s="4">
        <f t="shared" si="17"/>
        <v>0</v>
      </c>
      <c r="U68" s="4">
        <f t="shared" si="18"/>
        <v>0</v>
      </c>
      <c r="V68" s="4">
        <f t="shared" si="19"/>
        <v>0</v>
      </c>
      <c r="W68" s="4">
        <f t="shared" si="20"/>
        <v>0</v>
      </c>
      <c r="X68" s="4">
        <f t="shared" si="21"/>
        <v>0</v>
      </c>
      <c r="Y68" s="4">
        <f t="shared" si="15"/>
        <v>0</v>
      </c>
    </row>
    <row r="69" spans="1:25" ht="29" x14ac:dyDescent="0.35">
      <c r="A69" t="s">
        <v>161</v>
      </c>
      <c r="B69" s="3" t="s">
        <v>162</v>
      </c>
      <c r="C69" t="s">
        <v>131</v>
      </c>
      <c r="D69" t="s">
        <v>165</v>
      </c>
      <c r="E69" t="b">
        <v>1</v>
      </c>
      <c r="F69" t="b">
        <v>1</v>
      </c>
      <c r="G69" t="s">
        <v>20</v>
      </c>
      <c r="H69">
        <v>0.9</v>
      </c>
      <c r="I69">
        <v>0.99997040562185857</v>
      </c>
      <c r="J69" s="3" t="s">
        <v>166</v>
      </c>
      <c r="K69" s="3" t="s">
        <v>167</v>
      </c>
      <c r="L69" s="3" t="s">
        <v>167</v>
      </c>
      <c r="M69" s="3">
        <f t="shared" si="14"/>
        <v>13</v>
      </c>
      <c r="N69" s="3" t="s">
        <v>720</v>
      </c>
      <c r="O69" s="3"/>
      <c r="P69" s="3">
        <f t="shared" si="11"/>
        <v>1</v>
      </c>
      <c r="Q69" s="3">
        <f t="shared" si="12"/>
        <v>0</v>
      </c>
      <c r="R69" s="4">
        <f t="shared" si="13"/>
        <v>0</v>
      </c>
      <c r="S69" s="4">
        <f t="shared" si="16"/>
        <v>0</v>
      </c>
      <c r="T69" s="4">
        <f t="shared" si="17"/>
        <v>0</v>
      </c>
      <c r="U69" s="4">
        <f t="shared" si="18"/>
        <v>0</v>
      </c>
      <c r="V69" s="4">
        <f t="shared" si="19"/>
        <v>0</v>
      </c>
      <c r="W69" s="4">
        <f t="shared" si="20"/>
        <v>0</v>
      </c>
      <c r="X69" s="4">
        <f t="shared" si="21"/>
        <v>0</v>
      </c>
      <c r="Y69" s="4">
        <f t="shared" si="15"/>
        <v>0</v>
      </c>
    </row>
    <row r="70" spans="1:25" ht="29" x14ac:dyDescent="0.35">
      <c r="A70" t="s">
        <v>161</v>
      </c>
      <c r="B70" s="3" t="s">
        <v>162</v>
      </c>
      <c r="C70" t="s">
        <v>131</v>
      </c>
      <c r="D70" t="s">
        <v>168</v>
      </c>
      <c r="E70" t="b">
        <v>0</v>
      </c>
      <c r="F70" t="b">
        <v>1</v>
      </c>
      <c r="G70" t="s">
        <v>16</v>
      </c>
      <c r="H70">
        <v>0.8</v>
      </c>
      <c r="I70">
        <v>0.82634607230368817</v>
      </c>
      <c r="J70" s="3" t="s">
        <v>169</v>
      </c>
      <c r="K70" s="3" t="s">
        <v>169</v>
      </c>
      <c r="L70" s="3" t="s">
        <v>170</v>
      </c>
      <c r="M70" s="3">
        <f t="shared" si="14"/>
        <v>13</v>
      </c>
      <c r="N70" s="3" t="s">
        <v>703</v>
      </c>
      <c r="O70" s="3" t="s">
        <v>712</v>
      </c>
      <c r="P70" s="3">
        <f t="shared" si="11"/>
        <v>0</v>
      </c>
      <c r="Q70" s="3">
        <f t="shared" si="12"/>
        <v>1</v>
      </c>
      <c r="R70" s="4">
        <f t="shared" si="13"/>
        <v>0</v>
      </c>
      <c r="S70" s="4">
        <f t="shared" si="16"/>
        <v>1</v>
      </c>
      <c r="T70" s="4">
        <f t="shared" si="17"/>
        <v>0</v>
      </c>
      <c r="U70" s="4">
        <f t="shared" si="18"/>
        <v>0</v>
      </c>
      <c r="V70" s="4">
        <f t="shared" si="19"/>
        <v>0</v>
      </c>
      <c r="W70" s="4">
        <f t="shared" si="20"/>
        <v>0</v>
      </c>
      <c r="X70" s="4">
        <f t="shared" si="21"/>
        <v>1</v>
      </c>
      <c r="Y70" s="4">
        <f t="shared" si="15"/>
        <v>0</v>
      </c>
    </row>
    <row r="71" spans="1:25" ht="58" x14ac:dyDescent="0.35">
      <c r="A71" t="s">
        <v>161</v>
      </c>
      <c r="B71" s="3" t="s">
        <v>162</v>
      </c>
      <c r="C71" t="s">
        <v>131</v>
      </c>
      <c r="D71" t="s">
        <v>171</v>
      </c>
      <c r="E71" t="b">
        <v>0</v>
      </c>
      <c r="F71" t="b">
        <v>1</v>
      </c>
      <c r="G71" t="s">
        <v>51</v>
      </c>
      <c r="H71">
        <v>0.8</v>
      </c>
      <c r="I71">
        <v>0.80249921406235858</v>
      </c>
      <c r="J71" s="3" t="s">
        <v>172</v>
      </c>
      <c r="K71" s="3" t="s">
        <v>173</v>
      </c>
      <c r="L71" s="3" t="s">
        <v>174</v>
      </c>
      <c r="M71" s="3">
        <f t="shared" si="14"/>
        <v>13</v>
      </c>
      <c r="N71" s="3" t="s">
        <v>703</v>
      </c>
      <c r="O71" s="3" t="s">
        <v>712</v>
      </c>
      <c r="P71" s="3">
        <f t="shared" si="11"/>
        <v>0</v>
      </c>
      <c r="Q71" s="3">
        <f t="shared" si="12"/>
        <v>1</v>
      </c>
      <c r="R71" s="4">
        <f t="shared" si="13"/>
        <v>0</v>
      </c>
      <c r="S71" s="4">
        <f t="shared" si="16"/>
        <v>1</v>
      </c>
      <c r="T71" s="4">
        <f t="shared" si="17"/>
        <v>0</v>
      </c>
      <c r="U71" s="4">
        <f t="shared" si="18"/>
        <v>0</v>
      </c>
      <c r="V71" s="4">
        <f t="shared" si="19"/>
        <v>0</v>
      </c>
      <c r="W71" s="4">
        <f t="shared" si="20"/>
        <v>0</v>
      </c>
      <c r="X71" s="4">
        <f t="shared" si="21"/>
        <v>1</v>
      </c>
      <c r="Y71" s="4">
        <f t="shared" si="15"/>
        <v>0</v>
      </c>
    </row>
    <row r="72" spans="1:25" ht="29" x14ac:dyDescent="0.35">
      <c r="A72" t="s">
        <v>161</v>
      </c>
      <c r="B72" s="3" t="s">
        <v>162</v>
      </c>
      <c r="C72" t="s">
        <v>131</v>
      </c>
      <c r="D72" t="s">
        <v>175</v>
      </c>
      <c r="E72" t="b">
        <v>0</v>
      </c>
      <c r="F72" t="b">
        <v>1</v>
      </c>
      <c r="G72" t="s">
        <v>51</v>
      </c>
      <c r="H72">
        <v>0.4</v>
      </c>
      <c r="I72">
        <v>0.85149403231424858</v>
      </c>
      <c r="J72" s="3" t="s">
        <v>176</v>
      </c>
      <c r="K72" s="3" t="s">
        <v>177</v>
      </c>
      <c r="L72" s="3" t="s">
        <v>178</v>
      </c>
      <c r="M72" s="3">
        <f t="shared" si="14"/>
        <v>13</v>
      </c>
      <c r="N72" s="3" t="s">
        <v>703</v>
      </c>
      <c r="O72" s="3" t="s">
        <v>712</v>
      </c>
      <c r="P72" s="3">
        <f t="shared" si="11"/>
        <v>0</v>
      </c>
      <c r="Q72" s="3">
        <f t="shared" si="12"/>
        <v>1</v>
      </c>
      <c r="R72" s="4">
        <f t="shared" si="13"/>
        <v>0</v>
      </c>
      <c r="S72" s="4">
        <f t="shared" si="16"/>
        <v>1</v>
      </c>
      <c r="T72" s="4">
        <f t="shared" si="17"/>
        <v>0</v>
      </c>
      <c r="U72" s="4">
        <f t="shared" si="18"/>
        <v>0</v>
      </c>
      <c r="V72" s="4">
        <f t="shared" si="19"/>
        <v>0</v>
      </c>
      <c r="W72" s="4">
        <f t="shared" si="20"/>
        <v>0</v>
      </c>
      <c r="X72" s="4">
        <f t="shared" si="21"/>
        <v>1</v>
      </c>
      <c r="Y72" s="4">
        <f t="shared" si="15"/>
        <v>0</v>
      </c>
    </row>
    <row r="73" spans="1:25" ht="29" x14ac:dyDescent="0.35">
      <c r="A73" t="s">
        <v>161</v>
      </c>
      <c r="B73" s="3" t="s">
        <v>162</v>
      </c>
      <c r="C73" t="s">
        <v>131</v>
      </c>
      <c r="D73" t="s">
        <v>179</v>
      </c>
      <c r="E73" t="b">
        <v>1</v>
      </c>
      <c r="F73" t="b">
        <v>0</v>
      </c>
      <c r="J73" s="3" t="s">
        <v>180</v>
      </c>
      <c r="M73" s="3">
        <f t="shared" si="14"/>
        <v>13</v>
      </c>
      <c r="N73" s="3" t="s">
        <v>715</v>
      </c>
      <c r="O73" s="3"/>
      <c r="P73" s="3">
        <f t="shared" si="11"/>
        <v>0</v>
      </c>
      <c r="Q73" s="3">
        <f t="shared" si="12"/>
        <v>0</v>
      </c>
      <c r="R73" s="4">
        <f t="shared" si="13"/>
        <v>1</v>
      </c>
      <c r="S73" s="4">
        <f t="shared" si="16"/>
        <v>0</v>
      </c>
      <c r="T73" s="4">
        <f t="shared" si="17"/>
        <v>0</v>
      </c>
      <c r="U73" s="4">
        <f t="shared" si="18"/>
        <v>0</v>
      </c>
      <c r="V73" s="4">
        <f t="shared" si="19"/>
        <v>0</v>
      </c>
      <c r="W73" s="4">
        <f t="shared" si="20"/>
        <v>1</v>
      </c>
      <c r="X73" s="4">
        <f t="shared" si="21"/>
        <v>0</v>
      </c>
      <c r="Y73" s="4">
        <f t="shared" si="15"/>
        <v>0</v>
      </c>
    </row>
    <row r="74" spans="1:25" ht="29" x14ac:dyDescent="0.35">
      <c r="A74" t="s">
        <v>161</v>
      </c>
      <c r="B74" s="3" t="s">
        <v>162</v>
      </c>
      <c r="C74" t="s">
        <v>131</v>
      </c>
      <c r="D74" t="s">
        <v>22</v>
      </c>
      <c r="E74" t="b">
        <v>1</v>
      </c>
      <c r="F74" t="b">
        <v>0</v>
      </c>
      <c r="J74" s="3" t="s">
        <v>23</v>
      </c>
      <c r="M74" s="3">
        <f t="shared" si="14"/>
        <v>13</v>
      </c>
      <c r="N74" s="3" t="s">
        <v>718</v>
      </c>
      <c r="O74" s="3"/>
      <c r="P74" s="3">
        <f t="shared" si="11"/>
        <v>0</v>
      </c>
      <c r="Q74" s="3">
        <f t="shared" si="12"/>
        <v>0</v>
      </c>
      <c r="R74" s="4">
        <f t="shared" si="13"/>
        <v>1</v>
      </c>
      <c r="S74" s="4">
        <f t="shared" si="16"/>
        <v>0</v>
      </c>
      <c r="T74" s="4">
        <f t="shared" si="17"/>
        <v>0</v>
      </c>
      <c r="U74" s="4">
        <f t="shared" si="18"/>
        <v>0</v>
      </c>
      <c r="V74" s="4">
        <f t="shared" si="19"/>
        <v>1</v>
      </c>
      <c r="W74" s="4">
        <f t="shared" si="20"/>
        <v>0</v>
      </c>
      <c r="X74" s="4">
        <f t="shared" si="21"/>
        <v>0</v>
      </c>
      <c r="Y74" s="4">
        <f t="shared" si="15"/>
        <v>0</v>
      </c>
    </row>
    <row r="75" spans="1:25" ht="29" x14ac:dyDescent="0.35">
      <c r="A75" t="s">
        <v>161</v>
      </c>
      <c r="B75" s="3" t="s">
        <v>162</v>
      </c>
      <c r="C75" t="s">
        <v>131</v>
      </c>
      <c r="D75" t="s">
        <v>181</v>
      </c>
      <c r="E75" t="b">
        <v>1</v>
      </c>
      <c r="F75" t="b">
        <v>0</v>
      </c>
      <c r="J75" s="3" t="s">
        <v>182</v>
      </c>
      <c r="M75" s="3">
        <f t="shared" si="14"/>
        <v>13</v>
      </c>
      <c r="N75" s="3" t="s">
        <v>718</v>
      </c>
      <c r="O75" s="3"/>
      <c r="P75" s="3">
        <f t="shared" si="11"/>
        <v>0</v>
      </c>
      <c r="Q75" s="3">
        <f t="shared" si="12"/>
        <v>0</v>
      </c>
      <c r="R75" s="4">
        <f t="shared" si="13"/>
        <v>1</v>
      </c>
      <c r="S75" s="4">
        <f t="shared" si="16"/>
        <v>0</v>
      </c>
      <c r="T75" s="4">
        <f t="shared" si="17"/>
        <v>0</v>
      </c>
      <c r="U75" s="4">
        <f t="shared" si="18"/>
        <v>0</v>
      </c>
      <c r="V75" s="4">
        <f t="shared" si="19"/>
        <v>1</v>
      </c>
      <c r="W75" s="4">
        <f t="shared" si="20"/>
        <v>0</v>
      </c>
      <c r="X75" s="4">
        <f t="shared" si="21"/>
        <v>0</v>
      </c>
      <c r="Y75" s="4">
        <f t="shared" si="15"/>
        <v>0</v>
      </c>
    </row>
    <row r="76" spans="1:25" ht="29" x14ac:dyDescent="0.35">
      <c r="A76" t="s">
        <v>161</v>
      </c>
      <c r="B76" s="3" t="s">
        <v>162</v>
      </c>
      <c r="C76" t="s">
        <v>131</v>
      </c>
      <c r="D76" t="s">
        <v>183</v>
      </c>
      <c r="E76" t="b">
        <v>1</v>
      </c>
      <c r="F76" t="b">
        <v>0</v>
      </c>
      <c r="J76" s="3" t="s">
        <v>184</v>
      </c>
      <c r="M76" s="3">
        <f t="shared" si="14"/>
        <v>13</v>
      </c>
      <c r="N76" s="3" t="s">
        <v>718</v>
      </c>
      <c r="O76" s="3"/>
      <c r="P76" s="3">
        <f t="shared" si="11"/>
        <v>0</v>
      </c>
      <c r="Q76" s="3">
        <f t="shared" si="12"/>
        <v>0</v>
      </c>
      <c r="R76" s="4">
        <f t="shared" si="13"/>
        <v>1</v>
      </c>
      <c r="S76" s="4">
        <f t="shared" si="16"/>
        <v>0</v>
      </c>
      <c r="T76" s="4">
        <f t="shared" si="17"/>
        <v>0</v>
      </c>
      <c r="U76" s="4">
        <f t="shared" si="18"/>
        <v>0</v>
      </c>
      <c r="V76" s="4">
        <f t="shared" si="19"/>
        <v>1</v>
      </c>
      <c r="W76" s="4">
        <f t="shared" si="20"/>
        <v>0</v>
      </c>
      <c r="X76" s="4">
        <f t="shared" si="21"/>
        <v>0</v>
      </c>
      <c r="Y76" s="4">
        <f t="shared" si="15"/>
        <v>0</v>
      </c>
    </row>
    <row r="77" spans="1:25" ht="29" x14ac:dyDescent="0.35">
      <c r="A77" t="s">
        <v>185</v>
      </c>
      <c r="B77" s="3" t="s">
        <v>186</v>
      </c>
      <c r="C77" t="s">
        <v>131</v>
      </c>
      <c r="D77" t="s">
        <v>187</v>
      </c>
      <c r="E77" t="b">
        <v>1</v>
      </c>
      <c r="F77" t="b">
        <v>1</v>
      </c>
      <c r="G77" t="s">
        <v>20</v>
      </c>
      <c r="H77">
        <v>0.9</v>
      </c>
      <c r="I77">
        <v>0.99998804407411523</v>
      </c>
      <c r="J77" s="3" t="s">
        <v>188</v>
      </c>
      <c r="K77" s="3" t="s">
        <v>189</v>
      </c>
      <c r="L77" s="3" t="s">
        <v>189</v>
      </c>
      <c r="M77" s="3">
        <f t="shared" si="14"/>
        <v>14</v>
      </c>
      <c r="N77" s="3" t="s">
        <v>720</v>
      </c>
      <c r="O77" s="3"/>
      <c r="P77" s="3">
        <f t="shared" si="11"/>
        <v>1</v>
      </c>
      <c r="Q77" s="3">
        <f t="shared" si="12"/>
        <v>0</v>
      </c>
      <c r="R77" s="4">
        <f t="shared" si="13"/>
        <v>0</v>
      </c>
      <c r="S77" s="4">
        <f t="shared" si="16"/>
        <v>0</v>
      </c>
      <c r="T77" s="4">
        <f t="shared" si="17"/>
        <v>0</v>
      </c>
      <c r="U77" s="4">
        <f t="shared" si="18"/>
        <v>0</v>
      </c>
      <c r="V77" s="4">
        <f t="shared" si="19"/>
        <v>0</v>
      </c>
      <c r="W77" s="4">
        <f t="shared" si="20"/>
        <v>0</v>
      </c>
      <c r="X77" s="4">
        <f t="shared" si="21"/>
        <v>0</v>
      </c>
      <c r="Y77" s="4">
        <f t="shared" si="15"/>
        <v>0</v>
      </c>
    </row>
    <row r="78" spans="1:25" ht="29" x14ac:dyDescent="0.35">
      <c r="A78" t="s">
        <v>185</v>
      </c>
      <c r="B78" s="3" t="s">
        <v>186</v>
      </c>
      <c r="C78" t="s">
        <v>131</v>
      </c>
      <c r="D78" t="s">
        <v>190</v>
      </c>
      <c r="E78" t="b">
        <v>1</v>
      </c>
      <c r="F78" t="b">
        <v>1</v>
      </c>
      <c r="G78" t="s">
        <v>20</v>
      </c>
      <c r="H78">
        <v>0.9</v>
      </c>
      <c r="I78">
        <v>0.99998600760214196</v>
      </c>
      <c r="J78" s="3" t="s">
        <v>191</v>
      </c>
      <c r="K78" s="3" t="s">
        <v>191</v>
      </c>
      <c r="L78" s="3" t="s">
        <v>191</v>
      </c>
      <c r="M78" s="3">
        <f t="shared" si="14"/>
        <v>14</v>
      </c>
      <c r="N78" s="3" t="s">
        <v>720</v>
      </c>
      <c r="O78" s="3"/>
      <c r="P78" s="3">
        <f t="shared" si="11"/>
        <v>1</v>
      </c>
      <c r="Q78" s="3">
        <f t="shared" si="12"/>
        <v>0</v>
      </c>
      <c r="R78" s="4">
        <f t="shared" si="13"/>
        <v>0</v>
      </c>
      <c r="S78" s="4">
        <f t="shared" si="16"/>
        <v>0</v>
      </c>
      <c r="T78" s="4">
        <f t="shared" si="17"/>
        <v>0</v>
      </c>
      <c r="U78" s="4">
        <f t="shared" si="18"/>
        <v>0</v>
      </c>
      <c r="V78" s="4">
        <f t="shared" si="19"/>
        <v>0</v>
      </c>
      <c r="W78" s="4">
        <f t="shared" si="20"/>
        <v>0</v>
      </c>
      <c r="X78" s="4">
        <f t="shared" si="21"/>
        <v>0</v>
      </c>
      <c r="Y78" s="4">
        <f t="shared" si="15"/>
        <v>0</v>
      </c>
    </row>
    <row r="79" spans="1:25" ht="29" x14ac:dyDescent="0.35">
      <c r="A79" t="s">
        <v>185</v>
      </c>
      <c r="B79" s="3" t="s">
        <v>186</v>
      </c>
      <c r="C79" t="s">
        <v>131</v>
      </c>
      <c r="D79" t="s">
        <v>192</v>
      </c>
      <c r="E79" t="b">
        <v>1</v>
      </c>
      <c r="F79" t="b">
        <v>0</v>
      </c>
      <c r="J79" s="3" t="s">
        <v>193</v>
      </c>
      <c r="M79" s="3">
        <f t="shared" si="14"/>
        <v>14</v>
      </c>
      <c r="N79" s="3" t="s">
        <v>718</v>
      </c>
      <c r="O79" s="3"/>
      <c r="P79" s="3">
        <f t="shared" si="11"/>
        <v>0</v>
      </c>
      <c r="Q79" s="3">
        <f t="shared" si="12"/>
        <v>0</v>
      </c>
      <c r="R79" s="4">
        <f t="shared" si="13"/>
        <v>1</v>
      </c>
      <c r="S79" s="4">
        <f t="shared" si="16"/>
        <v>0</v>
      </c>
      <c r="T79" s="4">
        <f t="shared" si="17"/>
        <v>0</v>
      </c>
      <c r="U79" s="4">
        <f t="shared" si="18"/>
        <v>0</v>
      </c>
      <c r="V79" s="4">
        <f t="shared" si="19"/>
        <v>1</v>
      </c>
      <c r="W79" s="4">
        <f t="shared" si="20"/>
        <v>0</v>
      </c>
      <c r="X79" s="4">
        <f t="shared" si="21"/>
        <v>0</v>
      </c>
      <c r="Y79" s="4">
        <f t="shared" si="15"/>
        <v>0</v>
      </c>
    </row>
    <row r="80" spans="1:25" ht="29" x14ac:dyDescent="0.35">
      <c r="A80" t="s">
        <v>194</v>
      </c>
      <c r="B80" s="3" t="s">
        <v>195</v>
      </c>
      <c r="C80" t="s">
        <v>131</v>
      </c>
      <c r="D80" t="s">
        <v>196</v>
      </c>
      <c r="E80" t="b">
        <v>1</v>
      </c>
      <c r="F80" t="b">
        <v>1</v>
      </c>
      <c r="G80" t="s">
        <v>20</v>
      </c>
      <c r="H80">
        <v>0.9</v>
      </c>
      <c r="I80">
        <v>0.99998916560650319</v>
      </c>
      <c r="J80" s="3" t="s">
        <v>197</v>
      </c>
      <c r="K80" s="3" t="s">
        <v>197</v>
      </c>
      <c r="L80" s="3" t="s">
        <v>197</v>
      </c>
      <c r="M80" s="3">
        <f t="shared" si="14"/>
        <v>15</v>
      </c>
      <c r="N80" s="3" t="s">
        <v>720</v>
      </c>
      <c r="O80" s="3"/>
      <c r="P80" s="3">
        <f t="shared" si="11"/>
        <v>1</v>
      </c>
      <c r="Q80" s="3">
        <f t="shared" si="12"/>
        <v>0</v>
      </c>
      <c r="R80" s="4">
        <f t="shared" si="13"/>
        <v>0</v>
      </c>
      <c r="S80" s="4">
        <f t="shared" si="16"/>
        <v>0</v>
      </c>
      <c r="T80" s="4">
        <f t="shared" si="17"/>
        <v>0</v>
      </c>
      <c r="U80" s="4">
        <f t="shared" si="18"/>
        <v>0</v>
      </c>
      <c r="V80" s="4">
        <f t="shared" si="19"/>
        <v>0</v>
      </c>
      <c r="W80" s="4">
        <f t="shared" si="20"/>
        <v>0</v>
      </c>
      <c r="X80" s="4">
        <f t="shared" si="21"/>
        <v>0</v>
      </c>
      <c r="Y80" s="4">
        <f t="shared" si="15"/>
        <v>0</v>
      </c>
    </row>
    <row r="81" spans="1:25" ht="29" x14ac:dyDescent="0.35">
      <c r="A81" t="s">
        <v>194</v>
      </c>
      <c r="B81" s="3" t="s">
        <v>195</v>
      </c>
      <c r="C81" t="s">
        <v>131</v>
      </c>
      <c r="D81" t="s">
        <v>198</v>
      </c>
      <c r="E81" t="b">
        <v>0</v>
      </c>
      <c r="F81" t="b">
        <v>1</v>
      </c>
      <c r="G81" t="s">
        <v>51</v>
      </c>
      <c r="H81">
        <v>0.8</v>
      </c>
      <c r="I81">
        <v>0.80536138362486598</v>
      </c>
      <c r="J81" s="3" t="s">
        <v>199</v>
      </c>
      <c r="K81" s="3" t="s">
        <v>200</v>
      </c>
      <c r="L81" s="3" t="s">
        <v>201</v>
      </c>
      <c r="M81" s="3">
        <f t="shared" si="14"/>
        <v>15</v>
      </c>
      <c r="N81" s="3" t="s">
        <v>703</v>
      </c>
      <c r="O81" s="3" t="s">
        <v>712</v>
      </c>
      <c r="P81" s="3">
        <f t="shared" si="11"/>
        <v>0</v>
      </c>
      <c r="Q81" s="3">
        <f t="shared" si="12"/>
        <v>1</v>
      </c>
      <c r="R81" s="4">
        <f t="shared" si="13"/>
        <v>0</v>
      </c>
      <c r="S81" s="4">
        <f t="shared" si="16"/>
        <v>1</v>
      </c>
      <c r="T81" s="4">
        <f t="shared" si="17"/>
        <v>0</v>
      </c>
      <c r="U81" s="4">
        <f t="shared" si="18"/>
        <v>0</v>
      </c>
      <c r="V81" s="4">
        <f t="shared" si="19"/>
        <v>0</v>
      </c>
      <c r="W81" s="4">
        <f t="shared" si="20"/>
        <v>0</v>
      </c>
      <c r="X81" s="4">
        <f t="shared" si="21"/>
        <v>1</v>
      </c>
      <c r="Y81" s="4">
        <f t="shared" si="15"/>
        <v>0</v>
      </c>
    </row>
    <row r="82" spans="1:25" ht="29" x14ac:dyDescent="0.35">
      <c r="A82" t="s">
        <v>194</v>
      </c>
      <c r="B82" s="3" t="s">
        <v>195</v>
      </c>
      <c r="C82" t="s">
        <v>131</v>
      </c>
      <c r="D82" t="s">
        <v>202</v>
      </c>
      <c r="E82" t="b">
        <v>0</v>
      </c>
      <c r="F82" t="b">
        <v>1</v>
      </c>
      <c r="G82" t="s">
        <v>51</v>
      </c>
      <c r="H82">
        <v>0.6</v>
      </c>
      <c r="I82">
        <v>0.81093479360648402</v>
      </c>
      <c r="J82" s="3" t="s">
        <v>203</v>
      </c>
      <c r="K82" s="3" t="s">
        <v>203</v>
      </c>
      <c r="L82" s="3" t="s">
        <v>204</v>
      </c>
      <c r="M82" s="3">
        <f t="shared" si="14"/>
        <v>15</v>
      </c>
      <c r="N82" s="3" t="s">
        <v>703</v>
      </c>
      <c r="O82" s="3" t="s">
        <v>712</v>
      </c>
      <c r="P82" s="3">
        <f t="shared" si="11"/>
        <v>0</v>
      </c>
      <c r="Q82" s="3">
        <f t="shared" si="12"/>
        <v>1</v>
      </c>
      <c r="R82" s="4">
        <f t="shared" si="13"/>
        <v>0</v>
      </c>
      <c r="S82" s="4">
        <f t="shared" si="16"/>
        <v>1</v>
      </c>
      <c r="T82" s="4">
        <f t="shared" si="17"/>
        <v>0</v>
      </c>
      <c r="U82" s="4">
        <f t="shared" si="18"/>
        <v>0</v>
      </c>
      <c r="V82" s="4">
        <f t="shared" si="19"/>
        <v>0</v>
      </c>
      <c r="W82" s="4">
        <f t="shared" si="20"/>
        <v>0</v>
      </c>
      <c r="X82" s="4">
        <f t="shared" si="21"/>
        <v>1</v>
      </c>
      <c r="Y82" s="4">
        <f t="shared" si="15"/>
        <v>0</v>
      </c>
    </row>
    <row r="83" spans="1:25" ht="29" x14ac:dyDescent="0.35">
      <c r="A83" t="s">
        <v>194</v>
      </c>
      <c r="B83" s="3" t="s">
        <v>195</v>
      </c>
      <c r="C83" t="s">
        <v>131</v>
      </c>
      <c r="D83" t="s">
        <v>22</v>
      </c>
      <c r="E83" t="b">
        <v>1</v>
      </c>
      <c r="F83" t="b">
        <v>0</v>
      </c>
      <c r="J83" s="3" t="s">
        <v>23</v>
      </c>
      <c r="M83" s="3">
        <f t="shared" si="14"/>
        <v>15</v>
      </c>
      <c r="N83" s="3" t="s">
        <v>718</v>
      </c>
      <c r="O83" s="3"/>
      <c r="P83" s="3">
        <f t="shared" si="11"/>
        <v>0</v>
      </c>
      <c r="Q83" s="3">
        <f t="shared" si="12"/>
        <v>0</v>
      </c>
      <c r="R83" s="4">
        <f t="shared" si="13"/>
        <v>1</v>
      </c>
      <c r="S83" s="4">
        <f t="shared" si="16"/>
        <v>0</v>
      </c>
      <c r="T83" s="4">
        <f t="shared" si="17"/>
        <v>0</v>
      </c>
      <c r="U83" s="4">
        <f t="shared" si="18"/>
        <v>0</v>
      </c>
      <c r="V83" s="4">
        <f t="shared" si="19"/>
        <v>1</v>
      </c>
      <c r="W83" s="4">
        <f t="shared" si="20"/>
        <v>0</v>
      </c>
      <c r="X83" s="4">
        <f t="shared" si="21"/>
        <v>0</v>
      </c>
      <c r="Y83" s="4">
        <f t="shared" si="15"/>
        <v>0</v>
      </c>
    </row>
    <row r="84" spans="1:25" ht="29" x14ac:dyDescent="0.35">
      <c r="A84" t="s">
        <v>194</v>
      </c>
      <c r="B84" s="3" t="s">
        <v>195</v>
      </c>
      <c r="C84" t="s">
        <v>131</v>
      </c>
      <c r="D84" t="s">
        <v>205</v>
      </c>
      <c r="E84" t="b">
        <v>1</v>
      </c>
      <c r="F84" t="b">
        <v>0</v>
      </c>
      <c r="J84" s="3" t="s">
        <v>206</v>
      </c>
      <c r="M84" s="3">
        <f t="shared" si="14"/>
        <v>15</v>
      </c>
      <c r="N84" s="3" t="s">
        <v>715</v>
      </c>
      <c r="O84" s="3"/>
      <c r="P84" s="3">
        <f t="shared" si="11"/>
        <v>0</v>
      </c>
      <c r="Q84" s="3">
        <f t="shared" si="12"/>
        <v>0</v>
      </c>
      <c r="R84" s="4">
        <f t="shared" si="13"/>
        <v>1</v>
      </c>
      <c r="S84" s="4">
        <f t="shared" si="16"/>
        <v>0</v>
      </c>
      <c r="T84" s="4">
        <f t="shared" si="17"/>
        <v>0</v>
      </c>
      <c r="U84" s="4">
        <f t="shared" si="18"/>
        <v>0</v>
      </c>
      <c r="V84" s="4">
        <f t="shared" si="19"/>
        <v>0</v>
      </c>
      <c r="W84" s="4">
        <f t="shared" si="20"/>
        <v>1</v>
      </c>
      <c r="X84" s="4">
        <f t="shared" si="21"/>
        <v>0</v>
      </c>
      <c r="Y84" s="4">
        <f t="shared" si="15"/>
        <v>0</v>
      </c>
    </row>
    <row r="85" spans="1:25" ht="29" x14ac:dyDescent="0.35">
      <c r="A85" t="s">
        <v>207</v>
      </c>
      <c r="B85" s="3" t="s">
        <v>208</v>
      </c>
      <c r="C85" t="s">
        <v>131</v>
      </c>
      <c r="D85" t="s">
        <v>209</v>
      </c>
      <c r="E85" t="b">
        <v>1</v>
      </c>
      <c r="F85" t="b">
        <v>1</v>
      </c>
      <c r="G85" t="s">
        <v>20</v>
      </c>
      <c r="H85">
        <v>0.9</v>
      </c>
      <c r="I85">
        <v>0.99999079842016081</v>
      </c>
      <c r="J85" s="3" t="s">
        <v>210</v>
      </c>
      <c r="K85" s="3" t="s">
        <v>210</v>
      </c>
      <c r="L85" s="3" t="s">
        <v>210</v>
      </c>
      <c r="M85" s="3">
        <f t="shared" si="14"/>
        <v>16</v>
      </c>
      <c r="N85" s="3" t="s">
        <v>720</v>
      </c>
      <c r="O85" s="3"/>
      <c r="P85" s="3">
        <f t="shared" si="11"/>
        <v>1</v>
      </c>
      <c r="Q85" s="3">
        <f t="shared" si="12"/>
        <v>0</v>
      </c>
      <c r="R85" s="4">
        <f t="shared" si="13"/>
        <v>0</v>
      </c>
      <c r="S85" s="4">
        <f t="shared" si="16"/>
        <v>0</v>
      </c>
      <c r="T85" s="4">
        <f t="shared" si="17"/>
        <v>0</v>
      </c>
      <c r="U85" s="4">
        <f t="shared" si="18"/>
        <v>0</v>
      </c>
      <c r="V85" s="4">
        <f t="shared" si="19"/>
        <v>0</v>
      </c>
      <c r="W85" s="4">
        <f t="shared" si="20"/>
        <v>0</v>
      </c>
      <c r="X85" s="4">
        <f t="shared" si="21"/>
        <v>0</v>
      </c>
      <c r="Y85" s="4">
        <f t="shared" si="15"/>
        <v>0</v>
      </c>
    </row>
    <row r="86" spans="1:25" ht="29" x14ac:dyDescent="0.35">
      <c r="A86" t="s">
        <v>207</v>
      </c>
      <c r="B86" s="3" t="s">
        <v>208</v>
      </c>
      <c r="C86" t="s">
        <v>131</v>
      </c>
      <c r="D86" t="s">
        <v>22</v>
      </c>
      <c r="E86" t="b">
        <v>0</v>
      </c>
      <c r="F86" s="5" t="b">
        <v>1</v>
      </c>
      <c r="G86" t="s">
        <v>16</v>
      </c>
      <c r="J86" s="3" t="s">
        <v>23</v>
      </c>
      <c r="M86" s="3">
        <f t="shared" si="14"/>
        <v>16</v>
      </c>
      <c r="N86" s="3" t="s">
        <v>703</v>
      </c>
      <c r="O86" s="3"/>
      <c r="P86" s="3">
        <f t="shared" si="11"/>
        <v>0</v>
      </c>
      <c r="Q86" s="3">
        <f t="shared" si="12"/>
        <v>1</v>
      </c>
      <c r="R86" s="4">
        <f t="shared" si="13"/>
        <v>0</v>
      </c>
      <c r="S86" s="4">
        <f t="shared" si="16"/>
        <v>1</v>
      </c>
      <c r="T86" s="4">
        <f t="shared" si="17"/>
        <v>0</v>
      </c>
      <c r="U86" s="4">
        <f t="shared" si="18"/>
        <v>0</v>
      </c>
      <c r="V86" s="4">
        <f t="shared" si="19"/>
        <v>0</v>
      </c>
      <c r="W86" s="4">
        <f t="shared" si="20"/>
        <v>0</v>
      </c>
      <c r="X86" s="4">
        <f t="shared" si="21"/>
        <v>0</v>
      </c>
      <c r="Y86" s="4">
        <f t="shared" si="15"/>
        <v>0</v>
      </c>
    </row>
    <row r="87" spans="1:25" ht="29" x14ac:dyDescent="0.35">
      <c r="A87" t="s">
        <v>207</v>
      </c>
      <c r="B87" s="3" t="s">
        <v>208</v>
      </c>
      <c r="C87" t="s">
        <v>131</v>
      </c>
      <c r="D87" t="s">
        <v>211</v>
      </c>
      <c r="E87" t="b">
        <v>1</v>
      </c>
      <c r="F87" t="b">
        <v>0</v>
      </c>
      <c r="J87" s="3" t="s">
        <v>212</v>
      </c>
      <c r="M87" s="3">
        <f t="shared" si="14"/>
        <v>16</v>
      </c>
      <c r="N87" s="3" t="s">
        <v>718</v>
      </c>
      <c r="O87" s="3"/>
      <c r="P87" s="3">
        <f t="shared" si="11"/>
        <v>0</v>
      </c>
      <c r="Q87" s="3">
        <f t="shared" si="12"/>
        <v>0</v>
      </c>
      <c r="R87" s="4">
        <f t="shared" si="13"/>
        <v>1</v>
      </c>
      <c r="S87" s="4">
        <f t="shared" si="16"/>
        <v>0</v>
      </c>
      <c r="T87" s="4">
        <f t="shared" si="17"/>
        <v>0</v>
      </c>
      <c r="U87" s="4">
        <f t="shared" si="18"/>
        <v>0</v>
      </c>
      <c r="V87" s="4">
        <f t="shared" si="19"/>
        <v>1</v>
      </c>
      <c r="W87" s="4">
        <f t="shared" si="20"/>
        <v>0</v>
      </c>
      <c r="X87" s="4">
        <f t="shared" si="21"/>
        <v>0</v>
      </c>
      <c r="Y87" s="4">
        <f t="shared" si="15"/>
        <v>0</v>
      </c>
    </row>
    <row r="88" spans="1:25" ht="29" x14ac:dyDescent="0.35">
      <c r="A88" t="s">
        <v>213</v>
      </c>
      <c r="B88" s="3" t="s">
        <v>214</v>
      </c>
      <c r="C88" t="s">
        <v>131</v>
      </c>
      <c r="D88" t="s">
        <v>215</v>
      </c>
      <c r="E88" t="b">
        <v>0</v>
      </c>
      <c r="F88" t="b">
        <v>1</v>
      </c>
      <c r="G88" t="s">
        <v>16</v>
      </c>
      <c r="H88">
        <v>1</v>
      </c>
      <c r="I88">
        <v>0.99999186826711906</v>
      </c>
      <c r="J88" s="3" t="s">
        <v>216</v>
      </c>
      <c r="K88" s="3" t="s">
        <v>217</v>
      </c>
      <c r="L88" s="3" t="s">
        <v>217</v>
      </c>
      <c r="M88" s="3">
        <f t="shared" si="14"/>
        <v>17</v>
      </c>
      <c r="N88" s="3" t="s">
        <v>703</v>
      </c>
      <c r="O88" s="3" t="s">
        <v>742</v>
      </c>
      <c r="P88" s="3">
        <f t="shared" si="11"/>
        <v>0</v>
      </c>
      <c r="Q88" s="3">
        <f t="shared" si="12"/>
        <v>1</v>
      </c>
      <c r="R88" s="4">
        <f t="shared" si="13"/>
        <v>0</v>
      </c>
      <c r="S88" s="4">
        <f t="shared" si="16"/>
        <v>1</v>
      </c>
      <c r="T88" s="4">
        <f t="shared" si="17"/>
        <v>0</v>
      </c>
      <c r="U88" s="4">
        <f t="shared" si="18"/>
        <v>0</v>
      </c>
      <c r="V88" s="4">
        <f t="shared" si="19"/>
        <v>0</v>
      </c>
      <c r="W88" s="4">
        <f t="shared" si="20"/>
        <v>0</v>
      </c>
      <c r="X88" s="4">
        <f t="shared" si="21"/>
        <v>0</v>
      </c>
      <c r="Y88" s="4">
        <f t="shared" si="15"/>
        <v>1</v>
      </c>
    </row>
    <row r="89" spans="1:25" ht="29" x14ac:dyDescent="0.35">
      <c r="A89" t="s">
        <v>213</v>
      </c>
      <c r="B89" s="3" t="s">
        <v>214</v>
      </c>
      <c r="C89" t="s">
        <v>131</v>
      </c>
      <c r="D89" t="s">
        <v>218</v>
      </c>
      <c r="E89" t="b">
        <v>1</v>
      </c>
      <c r="F89" t="b">
        <v>0</v>
      </c>
      <c r="J89" s="3" t="s">
        <v>219</v>
      </c>
      <c r="M89" s="3">
        <f t="shared" si="14"/>
        <v>17</v>
      </c>
      <c r="N89" s="3" t="s">
        <v>715</v>
      </c>
      <c r="O89" s="3"/>
      <c r="P89" s="3">
        <f t="shared" si="11"/>
        <v>0</v>
      </c>
      <c r="Q89" s="3">
        <f t="shared" si="12"/>
        <v>0</v>
      </c>
      <c r="R89" s="4">
        <f t="shared" si="13"/>
        <v>1</v>
      </c>
      <c r="S89" s="4">
        <f t="shared" si="16"/>
        <v>0</v>
      </c>
      <c r="T89" s="4">
        <f t="shared" si="17"/>
        <v>0</v>
      </c>
      <c r="U89" s="4">
        <f t="shared" si="18"/>
        <v>0</v>
      </c>
      <c r="V89" s="4">
        <f t="shared" si="19"/>
        <v>0</v>
      </c>
      <c r="W89" s="4">
        <f t="shared" si="20"/>
        <v>1</v>
      </c>
      <c r="X89" s="4">
        <f t="shared" si="21"/>
        <v>0</v>
      </c>
      <c r="Y89" s="4">
        <f t="shared" si="15"/>
        <v>0</v>
      </c>
    </row>
    <row r="90" spans="1:25" ht="43.5" x14ac:dyDescent="0.35">
      <c r="A90" t="s">
        <v>220</v>
      </c>
      <c r="B90" s="3" t="s">
        <v>221</v>
      </c>
      <c r="C90" t="s">
        <v>131</v>
      </c>
      <c r="D90" t="s">
        <v>222</v>
      </c>
      <c r="E90" t="b">
        <v>1</v>
      </c>
      <c r="F90" t="b">
        <v>1</v>
      </c>
      <c r="G90" t="s">
        <v>20</v>
      </c>
      <c r="H90">
        <v>1</v>
      </c>
      <c r="I90">
        <v>0.99999125595115479</v>
      </c>
      <c r="J90" s="3" t="s">
        <v>223</v>
      </c>
      <c r="K90" s="3" t="s">
        <v>223</v>
      </c>
      <c r="L90" s="3" t="s">
        <v>223</v>
      </c>
      <c r="M90" s="3">
        <f t="shared" si="14"/>
        <v>18</v>
      </c>
      <c r="N90" s="3" t="s">
        <v>720</v>
      </c>
      <c r="O90" s="3"/>
      <c r="P90" s="3">
        <f t="shared" si="11"/>
        <v>1</v>
      </c>
      <c r="Q90" s="3">
        <f t="shared" si="12"/>
        <v>0</v>
      </c>
      <c r="R90" s="4">
        <f t="shared" si="13"/>
        <v>0</v>
      </c>
      <c r="S90" s="4">
        <f t="shared" si="16"/>
        <v>0</v>
      </c>
      <c r="T90" s="4">
        <f t="shared" si="17"/>
        <v>0</v>
      </c>
      <c r="U90" s="4">
        <f t="shared" si="18"/>
        <v>0</v>
      </c>
      <c r="V90" s="4">
        <f t="shared" si="19"/>
        <v>0</v>
      </c>
      <c r="W90" s="4">
        <f t="shared" si="20"/>
        <v>0</v>
      </c>
      <c r="X90" s="4">
        <f t="shared" si="21"/>
        <v>0</v>
      </c>
      <c r="Y90" s="4">
        <f t="shared" si="15"/>
        <v>0</v>
      </c>
    </row>
    <row r="91" spans="1:25" ht="43.5" x14ac:dyDescent="0.35">
      <c r="A91" t="s">
        <v>220</v>
      </c>
      <c r="B91" s="3" t="s">
        <v>221</v>
      </c>
      <c r="C91" t="s">
        <v>131</v>
      </c>
      <c r="D91" t="s">
        <v>224</v>
      </c>
      <c r="E91" t="b">
        <v>1</v>
      </c>
      <c r="F91" t="b">
        <v>1</v>
      </c>
      <c r="G91" t="s">
        <v>20</v>
      </c>
      <c r="H91">
        <v>0.9</v>
      </c>
      <c r="I91">
        <v>0.99998680966582798</v>
      </c>
      <c r="J91" s="3" t="s">
        <v>225</v>
      </c>
      <c r="K91" s="3" t="s">
        <v>226</v>
      </c>
      <c r="L91" s="3" t="s">
        <v>226</v>
      </c>
      <c r="M91" s="3">
        <f t="shared" si="14"/>
        <v>18</v>
      </c>
      <c r="N91" s="3" t="s">
        <v>720</v>
      </c>
      <c r="O91" s="3"/>
      <c r="P91" s="3">
        <f t="shared" si="11"/>
        <v>1</v>
      </c>
      <c r="Q91" s="3">
        <f t="shared" si="12"/>
        <v>0</v>
      </c>
      <c r="R91" s="4">
        <f t="shared" si="13"/>
        <v>0</v>
      </c>
      <c r="S91" s="4">
        <f t="shared" si="16"/>
        <v>0</v>
      </c>
      <c r="T91" s="4">
        <f t="shared" si="17"/>
        <v>0</v>
      </c>
      <c r="U91" s="4">
        <f t="shared" si="18"/>
        <v>0</v>
      </c>
      <c r="V91" s="4">
        <f t="shared" si="19"/>
        <v>0</v>
      </c>
      <c r="W91" s="4">
        <f t="shared" si="20"/>
        <v>0</v>
      </c>
      <c r="X91" s="4">
        <f t="shared" si="21"/>
        <v>0</v>
      </c>
      <c r="Y91" s="4">
        <f t="shared" si="15"/>
        <v>0</v>
      </c>
    </row>
    <row r="92" spans="1:25" ht="43.5" x14ac:dyDescent="0.35">
      <c r="A92" t="s">
        <v>220</v>
      </c>
      <c r="B92" s="3" t="s">
        <v>221</v>
      </c>
      <c r="C92" t="s">
        <v>131</v>
      </c>
      <c r="D92" t="s">
        <v>227</v>
      </c>
      <c r="E92" t="b">
        <v>0</v>
      </c>
      <c r="F92" t="b">
        <v>1</v>
      </c>
      <c r="G92" t="s">
        <v>20</v>
      </c>
      <c r="H92">
        <v>0.9</v>
      </c>
      <c r="I92">
        <v>0.99999185485405084</v>
      </c>
      <c r="J92" s="3" t="s">
        <v>228</v>
      </c>
      <c r="K92" s="3" t="s">
        <v>228</v>
      </c>
      <c r="L92" s="3" t="s">
        <v>228</v>
      </c>
      <c r="M92" s="3">
        <f t="shared" si="14"/>
        <v>18</v>
      </c>
      <c r="N92" s="3" t="s">
        <v>704</v>
      </c>
      <c r="O92" s="3"/>
      <c r="P92" s="3">
        <f t="shared" si="11"/>
        <v>0</v>
      </c>
      <c r="Q92" s="3">
        <f t="shared" si="12"/>
        <v>1</v>
      </c>
      <c r="R92" s="4">
        <f t="shared" si="13"/>
        <v>0</v>
      </c>
      <c r="S92" s="4">
        <f t="shared" si="16"/>
        <v>0</v>
      </c>
      <c r="T92" s="4">
        <f t="shared" si="17"/>
        <v>0</v>
      </c>
      <c r="U92" s="4">
        <f t="shared" si="18"/>
        <v>1</v>
      </c>
      <c r="V92" s="4">
        <f t="shared" si="19"/>
        <v>0</v>
      </c>
      <c r="W92" s="4">
        <f t="shared" si="20"/>
        <v>0</v>
      </c>
      <c r="X92" s="4">
        <f t="shared" si="21"/>
        <v>0</v>
      </c>
      <c r="Y92" s="4">
        <f t="shared" si="15"/>
        <v>0</v>
      </c>
    </row>
    <row r="93" spans="1:25" ht="43.5" x14ac:dyDescent="0.35">
      <c r="A93" t="s">
        <v>220</v>
      </c>
      <c r="B93" s="3" t="s">
        <v>221</v>
      </c>
      <c r="C93" t="s">
        <v>131</v>
      </c>
      <c r="D93" t="s">
        <v>229</v>
      </c>
      <c r="E93" t="b">
        <v>1</v>
      </c>
      <c r="F93" t="b">
        <v>0</v>
      </c>
      <c r="J93" s="3" t="s">
        <v>230</v>
      </c>
      <c r="M93" s="3">
        <f t="shared" si="14"/>
        <v>18</v>
      </c>
      <c r="N93" s="3" t="s">
        <v>718</v>
      </c>
      <c r="O93" s="3"/>
      <c r="P93" s="3">
        <f t="shared" si="11"/>
        <v>0</v>
      </c>
      <c r="Q93" s="3">
        <f t="shared" si="12"/>
        <v>0</v>
      </c>
      <c r="R93" s="4">
        <f t="shared" si="13"/>
        <v>1</v>
      </c>
      <c r="S93" s="4">
        <f t="shared" si="16"/>
        <v>0</v>
      </c>
      <c r="T93" s="4">
        <f t="shared" si="17"/>
        <v>0</v>
      </c>
      <c r="U93" s="4">
        <f t="shared" si="18"/>
        <v>0</v>
      </c>
      <c r="V93" s="4">
        <f t="shared" si="19"/>
        <v>1</v>
      </c>
      <c r="W93" s="4">
        <f t="shared" si="20"/>
        <v>0</v>
      </c>
      <c r="X93" s="4">
        <f t="shared" si="21"/>
        <v>0</v>
      </c>
      <c r="Y93" s="4">
        <f t="shared" si="15"/>
        <v>0</v>
      </c>
    </row>
    <row r="94" spans="1:25" ht="29" x14ac:dyDescent="0.35">
      <c r="A94" t="s">
        <v>231</v>
      </c>
      <c r="B94" s="3" t="s">
        <v>232</v>
      </c>
      <c r="C94" t="s">
        <v>131</v>
      </c>
      <c r="D94" t="s">
        <v>163</v>
      </c>
      <c r="E94" t="b">
        <v>1</v>
      </c>
      <c r="F94" t="b">
        <v>1</v>
      </c>
      <c r="G94" t="s">
        <v>157</v>
      </c>
      <c r="H94">
        <v>0.9</v>
      </c>
      <c r="I94">
        <v>0.99999248292919041</v>
      </c>
      <c r="J94" s="3" t="s">
        <v>164</v>
      </c>
      <c r="K94" s="3" t="s">
        <v>164</v>
      </c>
      <c r="L94" s="3" t="s">
        <v>164</v>
      </c>
      <c r="M94" s="3">
        <f t="shared" si="14"/>
        <v>19</v>
      </c>
      <c r="N94" s="3" t="s">
        <v>720</v>
      </c>
      <c r="O94" s="3"/>
      <c r="P94" s="3">
        <f t="shared" si="11"/>
        <v>1</v>
      </c>
      <c r="Q94" s="3">
        <f t="shared" si="12"/>
        <v>0</v>
      </c>
      <c r="R94" s="4">
        <f t="shared" si="13"/>
        <v>0</v>
      </c>
      <c r="S94" s="4">
        <f t="shared" si="16"/>
        <v>0</v>
      </c>
      <c r="T94" s="4">
        <f t="shared" si="17"/>
        <v>0</v>
      </c>
      <c r="U94" s="4">
        <f t="shared" si="18"/>
        <v>0</v>
      </c>
      <c r="V94" s="4">
        <f t="shared" si="19"/>
        <v>0</v>
      </c>
      <c r="W94" s="4">
        <f t="shared" si="20"/>
        <v>0</v>
      </c>
      <c r="X94" s="4">
        <f t="shared" si="21"/>
        <v>0</v>
      </c>
      <c r="Y94" s="4">
        <f t="shared" si="15"/>
        <v>0</v>
      </c>
    </row>
    <row r="95" spans="1:25" ht="29" x14ac:dyDescent="0.35">
      <c r="A95" t="s">
        <v>231</v>
      </c>
      <c r="B95" s="3" t="s">
        <v>232</v>
      </c>
      <c r="C95" t="s">
        <v>131</v>
      </c>
      <c r="D95" t="s">
        <v>62</v>
      </c>
      <c r="E95" t="b">
        <v>0</v>
      </c>
      <c r="F95" t="b">
        <v>1</v>
      </c>
      <c r="G95" t="s">
        <v>124</v>
      </c>
      <c r="H95">
        <v>0.8</v>
      </c>
      <c r="I95">
        <v>0.99999132303560923</v>
      </c>
      <c r="J95" s="3" t="s">
        <v>63</v>
      </c>
      <c r="K95" s="3" t="s">
        <v>63</v>
      </c>
      <c r="L95" s="3" t="s">
        <v>63</v>
      </c>
      <c r="M95" s="3">
        <f t="shared" si="14"/>
        <v>19</v>
      </c>
      <c r="N95" s="3" t="s">
        <v>709</v>
      </c>
      <c r="O95" s="3"/>
      <c r="P95" s="3">
        <f t="shared" si="11"/>
        <v>0</v>
      </c>
      <c r="Q95" s="3">
        <f t="shared" si="12"/>
        <v>1</v>
      </c>
      <c r="R95" s="4">
        <f t="shared" si="13"/>
        <v>0</v>
      </c>
      <c r="S95" s="4">
        <f t="shared" si="16"/>
        <v>0</v>
      </c>
      <c r="T95" s="4">
        <f t="shared" si="17"/>
        <v>1</v>
      </c>
      <c r="U95" s="4">
        <f t="shared" si="18"/>
        <v>0</v>
      </c>
      <c r="V95" s="4">
        <f t="shared" si="19"/>
        <v>0</v>
      </c>
      <c r="W95" s="4">
        <f t="shared" si="20"/>
        <v>0</v>
      </c>
      <c r="X95" s="4">
        <f t="shared" si="21"/>
        <v>0</v>
      </c>
      <c r="Y95" s="4">
        <f t="shared" si="15"/>
        <v>0</v>
      </c>
    </row>
    <row r="96" spans="1:25" ht="29" x14ac:dyDescent="0.35">
      <c r="A96" t="s">
        <v>231</v>
      </c>
      <c r="B96" s="3" t="s">
        <v>232</v>
      </c>
      <c r="C96" t="s">
        <v>131</v>
      </c>
      <c r="D96" t="s">
        <v>233</v>
      </c>
      <c r="E96" t="b">
        <v>0</v>
      </c>
      <c r="F96" t="b">
        <v>1</v>
      </c>
      <c r="G96" t="s">
        <v>157</v>
      </c>
      <c r="H96">
        <v>0.8</v>
      </c>
      <c r="I96">
        <v>0.99999112035673565</v>
      </c>
      <c r="J96" s="3" t="s">
        <v>234</v>
      </c>
      <c r="K96" s="3" t="s">
        <v>234</v>
      </c>
      <c r="L96" s="3" t="s">
        <v>234</v>
      </c>
      <c r="M96" s="3">
        <f t="shared" si="14"/>
        <v>19</v>
      </c>
      <c r="N96" s="3" t="s">
        <v>704</v>
      </c>
      <c r="O96" s="3"/>
      <c r="P96" s="3">
        <f t="shared" si="11"/>
        <v>0</v>
      </c>
      <c r="Q96" s="3">
        <f t="shared" si="12"/>
        <v>1</v>
      </c>
      <c r="R96" s="4">
        <f t="shared" si="13"/>
        <v>0</v>
      </c>
      <c r="S96" s="4">
        <f t="shared" si="16"/>
        <v>0</v>
      </c>
      <c r="T96" s="4">
        <f t="shared" si="17"/>
        <v>0</v>
      </c>
      <c r="U96" s="4">
        <f t="shared" si="18"/>
        <v>1</v>
      </c>
      <c r="V96" s="4">
        <f t="shared" si="19"/>
        <v>0</v>
      </c>
      <c r="W96" s="4">
        <f t="shared" si="20"/>
        <v>0</v>
      </c>
      <c r="X96" s="4">
        <f t="shared" si="21"/>
        <v>0</v>
      </c>
      <c r="Y96" s="4">
        <f t="shared" si="15"/>
        <v>0</v>
      </c>
    </row>
    <row r="97" spans="1:25" ht="29" x14ac:dyDescent="0.35">
      <c r="A97" t="s">
        <v>231</v>
      </c>
      <c r="B97" s="3" t="s">
        <v>232</v>
      </c>
      <c r="C97" t="s">
        <v>131</v>
      </c>
      <c r="D97" t="s">
        <v>235</v>
      </c>
      <c r="E97" t="b">
        <v>1</v>
      </c>
      <c r="F97" t="b">
        <v>0</v>
      </c>
      <c r="J97" s="3" t="s">
        <v>236</v>
      </c>
      <c r="M97" s="3">
        <f t="shared" si="14"/>
        <v>19</v>
      </c>
      <c r="N97" s="3" t="s">
        <v>718</v>
      </c>
      <c r="O97" s="3"/>
      <c r="P97" s="3">
        <f t="shared" si="11"/>
        <v>0</v>
      </c>
      <c r="Q97" s="3">
        <f t="shared" si="12"/>
        <v>0</v>
      </c>
      <c r="R97" s="4">
        <f t="shared" si="13"/>
        <v>1</v>
      </c>
      <c r="S97" s="4">
        <f t="shared" si="16"/>
        <v>0</v>
      </c>
      <c r="T97" s="4">
        <f t="shared" si="17"/>
        <v>0</v>
      </c>
      <c r="U97" s="4">
        <f t="shared" si="18"/>
        <v>0</v>
      </c>
      <c r="V97" s="4">
        <f t="shared" si="19"/>
        <v>1</v>
      </c>
      <c r="W97" s="4">
        <f t="shared" si="20"/>
        <v>0</v>
      </c>
      <c r="X97" s="4">
        <f t="shared" si="21"/>
        <v>0</v>
      </c>
      <c r="Y97" s="4">
        <f t="shared" si="15"/>
        <v>0</v>
      </c>
    </row>
    <row r="98" spans="1:25" ht="29" x14ac:dyDescent="0.35">
      <c r="A98" t="s">
        <v>231</v>
      </c>
      <c r="B98" s="3" t="s">
        <v>232</v>
      </c>
      <c r="C98" t="s">
        <v>131</v>
      </c>
      <c r="D98" t="s">
        <v>237</v>
      </c>
      <c r="E98" t="b">
        <v>1</v>
      </c>
      <c r="F98" t="b">
        <v>0</v>
      </c>
      <c r="J98" s="3" t="s">
        <v>238</v>
      </c>
      <c r="M98" s="3">
        <f t="shared" si="14"/>
        <v>19</v>
      </c>
      <c r="N98" s="3" t="s">
        <v>718</v>
      </c>
      <c r="O98" s="3"/>
      <c r="P98" s="3">
        <f t="shared" si="11"/>
        <v>0</v>
      </c>
      <c r="Q98" s="3">
        <f t="shared" si="12"/>
        <v>0</v>
      </c>
      <c r="R98" s="4">
        <f t="shared" si="13"/>
        <v>1</v>
      </c>
      <c r="S98" s="4">
        <f t="shared" si="16"/>
        <v>0</v>
      </c>
      <c r="T98" s="4">
        <f t="shared" si="17"/>
        <v>0</v>
      </c>
      <c r="U98" s="4">
        <f t="shared" si="18"/>
        <v>0</v>
      </c>
      <c r="V98" s="4">
        <f t="shared" si="19"/>
        <v>1</v>
      </c>
      <c r="W98" s="4">
        <f t="shared" si="20"/>
        <v>0</v>
      </c>
      <c r="X98" s="4">
        <f t="shared" si="21"/>
        <v>0</v>
      </c>
      <c r="Y98" s="4">
        <f t="shared" si="15"/>
        <v>0</v>
      </c>
    </row>
    <row r="99" spans="1:25" ht="29" x14ac:dyDescent="0.35">
      <c r="A99" t="s">
        <v>231</v>
      </c>
      <c r="B99" s="3" t="s">
        <v>232</v>
      </c>
      <c r="C99" t="s">
        <v>131</v>
      </c>
      <c r="D99" t="s">
        <v>239</v>
      </c>
      <c r="E99" t="b">
        <v>1</v>
      </c>
      <c r="F99" t="b">
        <v>0</v>
      </c>
      <c r="J99" s="3" t="s">
        <v>240</v>
      </c>
      <c r="M99" s="3">
        <f t="shared" si="14"/>
        <v>19</v>
      </c>
      <c r="N99" s="3" t="s">
        <v>718</v>
      </c>
      <c r="O99" s="3"/>
      <c r="P99" s="3">
        <f t="shared" si="11"/>
        <v>0</v>
      </c>
      <c r="Q99" s="3">
        <f t="shared" si="12"/>
        <v>0</v>
      </c>
      <c r="R99" s="4">
        <f t="shared" si="13"/>
        <v>1</v>
      </c>
      <c r="S99" s="4">
        <f t="shared" si="16"/>
        <v>0</v>
      </c>
      <c r="T99" s="4">
        <f t="shared" si="17"/>
        <v>0</v>
      </c>
      <c r="U99" s="4">
        <f t="shared" si="18"/>
        <v>0</v>
      </c>
      <c r="V99" s="4">
        <f t="shared" si="19"/>
        <v>1</v>
      </c>
      <c r="W99" s="4">
        <f t="shared" si="20"/>
        <v>0</v>
      </c>
      <c r="X99" s="4">
        <f t="shared" si="21"/>
        <v>0</v>
      </c>
      <c r="Y99" s="4">
        <f t="shared" si="15"/>
        <v>0</v>
      </c>
    </row>
    <row r="100" spans="1:25" ht="29" x14ac:dyDescent="0.35">
      <c r="A100" t="s">
        <v>241</v>
      </c>
      <c r="B100" s="3" t="s">
        <v>242</v>
      </c>
      <c r="C100" t="s">
        <v>131</v>
      </c>
      <c r="D100" t="s">
        <v>243</v>
      </c>
      <c r="E100" t="b">
        <v>0</v>
      </c>
      <c r="F100" t="b">
        <v>1</v>
      </c>
      <c r="G100" t="s">
        <v>157</v>
      </c>
      <c r="H100">
        <v>0.9</v>
      </c>
      <c r="I100">
        <v>0.9999932225363638</v>
      </c>
      <c r="J100" s="3" t="s">
        <v>244</v>
      </c>
      <c r="K100" s="3" t="s">
        <v>244</v>
      </c>
      <c r="L100" s="3" t="s">
        <v>244</v>
      </c>
      <c r="M100" s="3">
        <f t="shared" si="14"/>
        <v>20</v>
      </c>
      <c r="N100" s="3" t="s">
        <v>704</v>
      </c>
      <c r="O100" s="3"/>
      <c r="P100" s="3">
        <f t="shared" si="11"/>
        <v>0</v>
      </c>
      <c r="Q100" s="3">
        <f t="shared" si="12"/>
        <v>1</v>
      </c>
      <c r="R100" s="4">
        <f t="shared" si="13"/>
        <v>0</v>
      </c>
      <c r="S100" s="4">
        <f t="shared" si="16"/>
        <v>0</v>
      </c>
      <c r="T100" s="4">
        <f t="shared" si="17"/>
        <v>0</v>
      </c>
      <c r="U100" s="4">
        <f t="shared" si="18"/>
        <v>1</v>
      </c>
      <c r="V100" s="4">
        <f t="shared" si="19"/>
        <v>0</v>
      </c>
      <c r="W100" s="4">
        <f t="shared" si="20"/>
        <v>0</v>
      </c>
      <c r="X100" s="4">
        <f t="shared" si="21"/>
        <v>0</v>
      </c>
      <c r="Y100" s="4">
        <f t="shared" si="15"/>
        <v>0</v>
      </c>
    </row>
    <row r="101" spans="1:25" ht="29" x14ac:dyDescent="0.35">
      <c r="A101" t="s">
        <v>241</v>
      </c>
      <c r="B101" s="3" t="s">
        <v>242</v>
      </c>
      <c r="C101" t="s">
        <v>131</v>
      </c>
      <c r="D101" t="s">
        <v>245</v>
      </c>
      <c r="E101" s="5" t="b">
        <v>0</v>
      </c>
      <c r="F101" s="5" t="b">
        <v>1</v>
      </c>
      <c r="G101" t="s">
        <v>157</v>
      </c>
      <c r="J101" s="3" t="s">
        <v>246</v>
      </c>
      <c r="M101" s="3">
        <f t="shared" si="14"/>
        <v>20</v>
      </c>
      <c r="N101" s="3" t="s">
        <v>704</v>
      </c>
      <c r="O101" s="3"/>
      <c r="P101" s="3">
        <f t="shared" si="11"/>
        <v>0</v>
      </c>
      <c r="Q101" s="3">
        <f t="shared" si="12"/>
        <v>1</v>
      </c>
      <c r="R101" s="4">
        <f t="shared" si="13"/>
        <v>0</v>
      </c>
      <c r="S101" s="4">
        <f t="shared" si="16"/>
        <v>0</v>
      </c>
      <c r="T101" s="4">
        <f t="shared" si="17"/>
        <v>0</v>
      </c>
      <c r="U101" s="4">
        <f t="shared" si="18"/>
        <v>1</v>
      </c>
      <c r="V101" s="4">
        <f t="shared" si="19"/>
        <v>0</v>
      </c>
      <c r="W101" s="4">
        <f t="shared" si="20"/>
        <v>0</v>
      </c>
      <c r="X101" s="4">
        <f t="shared" si="21"/>
        <v>0</v>
      </c>
      <c r="Y101" s="4">
        <f t="shared" si="15"/>
        <v>0</v>
      </c>
    </row>
    <row r="102" spans="1:25" ht="29" x14ac:dyDescent="0.35">
      <c r="A102" t="s">
        <v>241</v>
      </c>
      <c r="B102" s="3" t="s">
        <v>242</v>
      </c>
      <c r="C102" t="s">
        <v>131</v>
      </c>
      <c r="D102" t="s">
        <v>247</v>
      </c>
      <c r="E102" t="b">
        <v>1</v>
      </c>
      <c r="F102" t="b">
        <v>1</v>
      </c>
      <c r="G102" t="s">
        <v>157</v>
      </c>
      <c r="H102">
        <v>0.9</v>
      </c>
      <c r="I102">
        <v>0.9999940308533386</v>
      </c>
      <c r="J102" s="3" t="s">
        <v>248</v>
      </c>
      <c r="K102" s="3" t="s">
        <v>248</v>
      </c>
      <c r="L102" s="3" t="s">
        <v>248</v>
      </c>
      <c r="M102" s="3">
        <f t="shared" si="14"/>
        <v>20</v>
      </c>
      <c r="N102" s="3" t="s">
        <v>720</v>
      </c>
      <c r="O102" s="3"/>
      <c r="P102" s="3">
        <f t="shared" si="11"/>
        <v>1</v>
      </c>
      <c r="Q102" s="3">
        <f t="shared" si="12"/>
        <v>0</v>
      </c>
      <c r="R102" s="4">
        <f t="shared" si="13"/>
        <v>0</v>
      </c>
      <c r="S102" s="4">
        <f t="shared" si="16"/>
        <v>0</v>
      </c>
      <c r="T102" s="4">
        <f t="shared" si="17"/>
        <v>0</v>
      </c>
      <c r="U102" s="4">
        <f t="shared" si="18"/>
        <v>0</v>
      </c>
      <c r="V102" s="4">
        <f t="shared" si="19"/>
        <v>0</v>
      </c>
      <c r="W102" s="4">
        <f t="shared" si="20"/>
        <v>0</v>
      </c>
      <c r="X102" s="4">
        <f t="shared" si="21"/>
        <v>0</v>
      </c>
      <c r="Y102" s="4">
        <f t="shared" si="15"/>
        <v>0</v>
      </c>
    </row>
    <row r="103" spans="1:25" ht="29" x14ac:dyDescent="0.35">
      <c r="A103" t="s">
        <v>241</v>
      </c>
      <c r="B103" s="3" t="s">
        <v>242</v>
      </c>
      <c r="C103" t="s">
        <v>131</v>
      </c>
      <c r="D103" t="s">
        <v>249</v>
      </c>
      <c r="E103" s="5" t="b">
        <v>0</v>
      </c>
      <c r="F103" s="5" t="b">
        <v>1</v>
      </c>
      <c r="G103" t="s">
        <v>51</v>
      </c>
      <c r="J103" s="3" t="s">
        <v>250</v>
      </c>
      <c r="M103" s="3">
        <f t="shared" si="14"/>
        <v>20</v>
      </c>
      <c r="N103" s="3" t="s">
        <v>703</v>
      </c>
      <c r="O103" s="3"/>
      <c r="P103" s="3">
        <f t="shared" si="11"/>
        <v>0</v>
      </c>
      <c r="Q103" s="3">
        <f t="shared" si="12"/>
        <v>1</v>
      </c>
      <c r="R103" s="4">
        <f t="shared" si="13"/>
        <v>0</v>
      </c>
      <c r="S103" s="4">
        <f t="shared" si="16"/>
        <v>1</v>
      </c>
      <c r="T103" s="4">
        <f t="shared" si="17"/>
        <v>0</v>
      </c>
      <c r="U103" s="4">
        <f t="shared" si="18"/>
        <v>0</v>
      </c>
      <c r="V103" s="4">
        <f t="shared" si="19"/>
        <v>0</v>
      </c>
      <c r="W103" s="4">
        <f t="shared" si="20"/>
        <v>0</v>
      </c>
      <c r="X103" s="4">
        <f t="shared" si="21"/>
        <v>0</v>
      </c>
      <c r="Y103" s="4">
        <f t="shared" si="15"/>
        <v>0</v>
      </c>
    </row>
    <row r="104" spans="1:25" ht="29" x14ac:dyDescent="0.35">
      <c r="A104" t="s">
        <v>241</v>
      </c>
      <c r="B104" s="3" t="s">
        <v>242</v>
      </c>
      <c r="C104" t="s">
        <v>131</v>
      </c>
      <c r="D104" t="s">
        <v>251</v>
      </c>
      <c r="E104" t="b">
        <v>0</v>
      </c>
      <c r="F104" t="b">
        <v>1</v>
      </c>
      <c r="G104" t="s">
        <v>51</v>
      </c>
      <c r="H104">
        <v>0.4</v>
      </c>
      <c r="I104">
        <v>0.82093052318236037</v>
      </c>
      <c r="J104" s="3" t="s">
        <v>252</v>
      </c>
      <c r="K104" s="3" t="s">
        <v>252</v>
      </c>
      <c r="L104" s="3" t="s">
        <v>253</v>
      </c>
      <c r="M104" s="3">
        <f t="shared" si="14"/>
        <v>20</v>
      </c>
      <c r="N104" s="3" t="s">
        <v>703</v>
      </c>
      <c r="O104" s="3" t="s">
        <v>742</v>
      </c>
      <c r="P104" s="3">
        <f t="shared" si="11"/>
        <v>0</v>
      </c>
      <c r="Q104" s="3">
        <f t="shared" si="12"/>
        <v>1</v>
      </c>
      <c r="R104" s="4">
        <f t="shared" si="13"/>
        <v>0</v>
      </c>
      <c r="S104" s="4">
        <f t="shared" si="16"/>
        <v>1</v>
      </c>
      <c r="T104" s="4">
        <f t="shared" si="17"/>
        <v>0</v>
      </c>
      <c r="U104" s="4">
        <f t="shared" si="18"/>
        <v>0</v>
      </c>
      <c r="V104" s="4">
        <f t="shared" si="19"/>
        <v>0</v>
      </c>
      <c r="W104" s="4">
        <f t="shared" si="20"/>
        <v>0</v>
      </c>
      <c r="X104" s="4">
        <f t="shared" si="21"/>
        <v>0</v>
      </c>
      <c r="Y104" s="4">
        <f t="shared" si="15"/>
        <v>1</v>
      </c>
    </row>
    <row r="105" spans="1:25" ht="29" x14ac:dyDescent="0.35">
      <c r="A105" t="s">
        <v>241</v>
      </c>
      <c r="B105" s="3" t="s">
        <v>242</v>
      </c>
      <c r="C105" t="s">
        <v>131</v>
      </c>
      <c r="D105" t="s">
        <v>254</v>
      </c>
      <c r="E105" t="b">
        <v>1</v>
      </c>
      <c r="F105" t="b">
        <v>0</v>
      </c>
      <c r="J105" s="3" t="s">
        <v>255</v>
      </c>
      <c r="M105" s="3">
        <f t="shared" si="14"/>
        <v>20</v>
      </c>
      <c r="N105" s="3" t="s">
        <v>715</v>
      </c>
      <c r="O105" s="3"/>
      <c r="P105" s="3">
        <f t="shared" si="11"/>
        <v>0</v>
      </c>
      <c r="Q105" s="3">
        <f t="shared" si="12"/>
        <v>0</v>
      </c>
      <c r="R105" s="4">
        <f t="shared" si="13"/>
        <v>1</v>
      </c>
      <c r="S105" s="4">
        <f t="shared" si="16"/>
        <v>0</v>
      </c>
      <c r="T105" s="4">
        <f t="shared" si="17"/>
        <v>0</v>
      </c>
      <c r="U105" s="4">
        <f t="shared" si="18"/>
        <v>0</v>
      </c>
      <c r="V105" s="4">
        <f t="shared" si="19"/>
        <v>0</v>
      </c>
      <c r="W105" s="4">
        <f t="shared" si="20"/>
        <v>1</v>
      </c>
      <c r="X105" s="4">
        <f t="shared" si="21"/>
        <v>0</v>
      </c>
      <c r="Y105" s="4">
        <f t="shared" si="15"/>
        <v>0</v>
      </c>
    </row>
    <row r="106" spans="1:25" ht="29" x14ac:dyDescent="0.35">
      <c r="A106" t="s">
        <v>241</v>
      </c>
      <c r="B106" s="3" t="s">
        <v>242</v>
      </c>
      <c r="C106" t="s">
        <v>131</v>
      </c>
      <c r="D106" t="s">
        <v>256</v>
      </c>
      <c r="E106" t="b">
        <v>1</v>
      </c>
      <c r="F106" t="b">
        <v>0</v>
      </c>
      <c r="J106" s="3" t="s">
        <v>257</v>
      </c>
      <c r="M106" s="3">
        <f t="shared" si="14"/>
        <v>20</v>
      </c>
      <c r="N106" s="3" t="s">
        <v>718</v>
      </c>
      <c r="O106" s="3"/>
      <c r="P106" s="3">
        <f t="shared" si="11"/>
        <v>0</v>
      </c>
      <c r="Q106" s="3">
        <f t="shared" si="12"/>
        <v>0</v>
      </c>
      <c r="R106" s="4">
        <f t="shared" si="13"/>
        <v>1</v>
      </c>
      <c r="S106" s="4">
        <f t="shared" si="16"/>
        <v>0</v>
      </c>
      <c r="T106" s="4">
        <f t="shared" si="17"/>
        <v>0</v>
      </c>
      <c r="U106" s="4">
        <f t="shared" si="18"/>
        <v>0</v>
      </c>
      <c r="V106" s="4">
        <f t="shared" si="19"/>
        <v>1</v>
      </c>
      <c r="W106" s="4">
        <f t="shared" si="20"/>
        <v>0</v>
      </c>
      <c r="X106" s="4">
        <f t="shared" si="21"/>
        <v>0</v>
      </c>
      <c r="Y106" s="4">
        <f t="shared" si="15"/>
        <v>0</v>
      </c>
    </row>
    <row r="107" spans="1:25" ht="29" x14ac:dyDescent="0.35">
      <c r="A107" t="s">
        <v>241</v>
      </c>
      <c r="B107" s="3" t="s">
        <v>242</v>
      </c>
      <c r="C107" t="s">
        <v>131</v>
      </c>
      <c r="D107" t="s">
        <v>258</v>
      </c>
      <c r="E107" t="b">
        <v>1</v>
      </c>
      <c r="F107" t="b">
        <v>0</v>
      </c>
      <c r="J107" s="3" t="s">
        <v>259</v>
      </c>
      <c r="M107" s="3">
        <f t="shared" si="14"/>
        <v>20</v>
      </c>
      <c r="N107" s="3" t="s">
        <v>715</v>
      </c>
      <c r="O107" s="3"/>
      <c r="P107" s="3">
        <f t="shared" si="11"/>
        <v>0</v>
      </c>
      <c r="Q107" s="3">
        <f t="shared" si="12"/>
        <v>0</v>
      </c>
      <c r="R107" s="4">
        <f t="shared" si="13"/>
        <v>1</v>
      </c>
      <c r="S107" s="4">
        <f t="shared" si="16"/>
        <v>0</v>
      </c>
      <c r="T107" s="4">
        <f t="shared" si="17"/>
        <v>0</v>
      </c>
      <c r="U107" s="4">
        <f t="shared" si="18"/>
        <v>0</v>
      </c>
      <c r="V107" s="4">
        <f t="shared" si="19"/>
        <v>0</v>
      </c>
      <c r="W107" s="4">
        <f t="shared" si="20"/>
        <v>1</v>
      </c>
      <c r="X107" s="4">
        <f t="shared" si="21"/>
        <v>0</v>
      </c>
      <c r="Y107" s="4">
        <f t="shared" si="15"/>
        <v>0</v>
      </c>
    </row>
    <row r="108" spans="1:25" ht="29" x14ac:dyDescent="0.35">
      <c r="A108" t="s">
        <v>260</v>
      </c>
      <c r="B108" s="3" t="s">
        <v>261</v>
      </c>
      <c r="C108" t="s">
        <v>262</v>
      </c>
      <c r="D108" t="s">
        <v>263</v>
      </c>
      <c r="E108" t="b">
        <v>1</v>
      </c>
      <c r="F108" t="b">
        <v>1</v>
      </c>
      <c r="G108" t="s">
        <v>20</v>
      </c>
      <c r="H108">
        <v>1</v>
      </c>
      <c r="I108">
        <v>0.99998861562257202</v>
      </c>
      <c r="J108" s="3" t="s">
        <v>264</v>
      </c>
      <c r="K108" s="3" t="s">
        <v>265</v>
      </c>
      <c r="L108" s="3" t="s">
        <v>265</v>
      </c>
      <c r="M108" s="3">
        <f t="shared" si="14"/>
        <v>21</v>
      </c>
      <c r="N108" s="3" t="s">
        <v>720</v>
      </c>
      <c r="O108" s="3"/>
      <c r="P108" s="3">
        <f t="shared" si="11"/>
        <v>1</v>
      </c>
      <c r="Q108" s="3">
        <f t="shared" si="12"/>
        <v>0</v>
      </c>
      <c r="R108" s="4">
        <f t="shared" si="13"/>
        <v>0</v>
      </c>
      <c r="S108" s="4">
        <f t="shared" si="16"/>
        <v>0</v>
      </c>
      <c r="T108" s="4">
        <f t="shared" si="17"/>
        <v>0</v>
      </c>
      <c r="U108" s="4">
        <f t="shared" si="18"/>
        <v>0</v>
      </c>
      <c r="V108" s="4">
        <f t="shared" si="19"/>
        <v>0</v>
      </c>
      <c r="W108" s="4">
        <f t="shared" si="20"/>
        <v>0</v>
      </c>
      <c r="X108" s="4">
        <f t="shared" si="21"/>
        <v>0</v>
      </c>
      <c r="Y108" s="4">
        <f t="shared" si="15"/>
        <v>0</v>
      </c>
    </row>
    <row r="109" spans="1:25" x14ac:dyDescent="0.35">
      <c r="A109" t="s">
        <v>260</v>
      </c>
      <c r="B109" s="3" t="s">
        <v>261</v>
      </c>
      <c r="C109" t="s">
        <v>262</v>
      </c>
      <c r="D109" t="s">
        <v>266</v>
      </c>
      <c r="E109" t="b">
        <v>0</v>
      </c>
      <c r="F109" t="b">
        <v>1</v>
      </c>
      <c r="G109" t="s">
        <v>157</v>
      </c>
      <c r="H109">
        <v>0.9</v>
      </c>
      <c r="I109">
        <v>0.9999891750926384</v>
      </c>
      <c r="J109" s="3" t="s">
        <v>267</v>
      </c>
      <c r="K109" s="3" t="s">
        <v>267</v>
      </c>
      <c r="L109" s="3" t="s">
        <v>267</v>
      </c>
      <c r="M109" s="3">
        <f t="shared" si="14"/>
        <v>21</v>
      </c>
      <c r="N109" s="3" t="s">
        <v>704</v>
      </c>
      <c r="O109" s="3"/>
      <c r="P109" s="3">
        <f t="shared" si="11"/>
        <v>0</v>
      </c>
      <c r="Q109" s="3">
        <f t="shared" si="12"/>
        <v>1</v>
      </c>
      <c r="R109" s="4">
        <f t="shared" si="13"/>
        <v>0</v>
      </c>
      <c r="S109" s="4">
        <f t="shared" si="16"/>
        <v>0</v>
      </c>
      <c r="T109" s="4">
        <f t="shared" si="17"/>
        <v>0</v>
      </c>
      <c r="U109" s="4">
        <f t="shared" si="18"/>
        <v>1</v>
      </c>
      <c r="V109" s="4">
        <f t="shared" si="19"/>
        <v>0</v>
      </c>
      <c r="W109" s="4">
        <f t="shared" si="20"/>
        <v>0</v>
      </c>
      <c r="X109" s="4">
        <f t="shared" si="21"/>
        <v>0</v>
      </c>
      <c r="Y109" s="4">
        <f t="shared" si="15"/>
        <v>0</v>
      </c>
    </row>
    <row r="110" spans="1:25" x14ac:dyDescent="0.35">
      <c r="A110" t="s">
        <v>260</v>
      </c>
      <c r="B110" s="3" t="s">
        <v>261</v>
      </c>
      <c r="C110" t="s">
        <v>262</v>
      </c>
      <c r="D110" t="s">
        <v>268</v>
      </c>
      <c r="E110" t="b">
        <v>0</v>
      </c>
      <c r="F110" t="b">
        <v>1</v>
      </c>
      <c r="G110" t="s">
        <v>157</v>
      </c>
      <c r="H110">
        <v>0.9</v>
      </c>
      <c r="I110">
        <v>0.99999037069947383</v>
      </c>
      <c r="J110" s="3" t="s">
        <v>269</v>
      </c>
      <c r="K110" s="3" t="s">
        <v>270</v>
      </c>
      <c r="L110" s="3" t="s">
        <v>270</v>
      </c>
      <c r="M110" s="3">
        <f t="shared" si="14"/>
        <v>21</v>
      </c>
      <c r="N110" s="3" t="s">
        <v>704</v>
      </c>
      <c r="O110" s="3"/>
      <c r="P110" s="3">
        <f t="shared" si="11"/>
        <v>0</v>
      </c>
      <c r="Q110" s="3">
        <f t="shared" si="12"/>
        <v>1</v>
      </c>
      <c r="R110" s="4">
        <f t="shared" si="13"/>
        <v>0</v>
      </c>
      <c r="S110" s="4">
        <f t="shared" si="16"/>
        <v>0</v>
      </c>
      <c r="T110" s="4">
        <f t="shared" si="17"/>
        <v>0</v>
      </c>
      <c r="U110" s="4">
        <f t="shared" si="18"/>
        <v>1</v>
      </c>
      <c r="V110" s="4">
        <f t="shared" si="19"/>
        <v>0</v>
      </c>
      <c r="W110" s="4">
        <f t="shared" si="20"/>
        <v>0</v>
      </c>
      <c r="X110" s="4">
        <f t="shared" si="21"/>
        <v>0</v>
      </c>
      <c r="Y110" s="4">
        <f t="shared" si="15"/>
        <v>0</v>
      </c>
    </row>
    <row r="111" spans="1:25" ht="43.5" x14ac:dyDescent="0.35">
      <c r="A111" t="s">
        <v>271</v>
      </c>
      <c r="B111" s="3" t="s">
        <v>272</v>
      </c>
      <c r="C111" t="s">
        <v>262</v>
      </c>
      <c r="D111" t="s">
        <v>273</v>
      </c>
      <c r="E111" t="b">
        <v>0</v>
      </c>
      <c r="F111" t="b">
        <v>1</v>
      </c>
      <c r="G111" t="s">
        <v>20</v>
      </c>
      <c r="H111">
        <v>0.9</v>
      </c>
      <c r="I111">
        <v>0.99998729807086917</v>
      </c>
      <c r="J111" s="3" t="s">
        <v>274</v>
      </c>
      <c r="K111" s="3" t="s">
        <v>274</v>
      </c>
      <c r="L111" s="3" t="s">
        <v>274</v>
      </c>
      <c r="M111" s="3">
        <f t="shared" si="14"/>
        <v>22</v>
      </c>
      <c r="N111" s="3" t="s">
        <v>704</v>
      </c>
      <c r="O111" s="3"/>
      <c r="P111" s="3">
        <f t="shared" ref="P111:P171" si="22">IF(AND(E111,F111),1,0)</f>
        <v>0</v>
      </c>
      <c r="Q111" s="3">
        <f t="shared" ref="Q111:Q171" si="23">IF(AND(NOT(E111),F111),1,0)</f>
        <v>1</v>
      </c>
      <c r="R111" s="4">
        <f t="shared" ref="R111:R171" si="24">IF(AND(E111,NOT(F111)),1,0)</f>
        <v>0</v>
      </c>
      <c r="S111" s="4">
        <f t="shared" si="16"/>
        <v>0</v>
      </c>
      <c r="T111" s="4">
        <f t="shared" si="17"/>
        <v>0</v>
      </c>
      <c r="U111" s="4">
        <f t="shared" si="18"/>
        <v>1</v>
      </c>
      <c r="V111" s="4">
        <f t="shared" si="19"/>
        <v>0</v>
      </c>
      <c r="W111" s="4">
        <f t="shared" si="20"/>
        <v>0</v>
      </c>
      <c r="X111" s="4">
        <f t="shared" si="21"/>
        <v>0</v>
      </c>
      <c r="Y111" s="4">
        <f t="shared" si="15"/>
        <v>0</v>
      </c>
    </row>
    <row r="112" spans="1:25" ht="43.5" x14ac:dyDescent="0.35">
      <c r="A112" t="s">
        <v>271</v>
      </c>
      <c r="B112" s="3" t="s">
        <v>272</v>
      </c>
      <c r="C112" t="s">
        <v>262</v>
      </c>
      <c r="D112" t="s">
        <v>275</v>
      </c>
      <c r="E112" t="b">
        <v>1</v>
      </c>
      <c r="F112" t="b">
        <v>1</v>
      </c>
      <c r="G112" t="s">
        <v>20</v>
      </c>
      <c r="H112">
        <v>0.9</v>
      </c>
      <c r="I112">
        <v>0.9999913164559272</v>
      </c>
      <c r="J112" s="3" t="s">
        <v>276</v>
      </c>
      <c r="K112" s="3" t="s">
        <v>276</v>
      </c>
      <c r="L112" s="3" t="s">
        <v>276</v>
      </c>
      <c r="M112" s="3">
        <f t="shared" si="14"/>
        <v>22</v>
      </c>
      <c r="N112" s="3" t="s">
        <v>720</v>
      </c>
      <c r="O112" s="3"/>
      <c r="P112" s="3">
        <f t="shared" si="22"/>
        <v>1</v>
      </c>
      <c r="Q112" s="3">
        <f t="shared" si="23"/>
        <v>0</v>
      </c>
      <c r="R112" s="4">
        <f t="shared" si="24"/>
        <v>0</v>
      </c>
      <c r="S112" s="4">
        <f t="shared" si="16"/>
        <v>0</v>
      </c>
      <c r="T112" s="4">
        <f t="shared" si="17"/>
        <v>0</v>
      </c>
      <c r="U112" s="4">
        <f t="shared" si="18"/>
        <v>0</v>
      </c>
      <c r="V112" s="4">
        <f t="shared" si="19"/>
        <v>0</v>
      </c>
      <c r="W112" s="4">
        <f t="shared" si="20"/>
        <v>0</v>
      </c>
      <c r="X112" s="4">
        <f t="shared" si="21"/>
        <v>0</v>
      </c>
      <c r="Y112" s="4">
        <f t="shared" si="15"/>
        <v>0</v>
      </c>
    </row>
    <row r="113" spans="1:25" ht="43.5" x14ac:dyDescent="0.35">
      <c r="A113" t="s">
        <v>271</v>
      </c>
      <c r="B113" s="3" t="s">
        <v>272</v>
      </c>
      <c r="C113" t="s">
        <v>262</v>
      </c>
      <c r="D113" t="s">
        <v>277</v>
      </c>
      <c r="E113" t="b">
        <v>0</v>
      </c>
      <c r="F113" t="b">
        <v>1</v>
      </c>
      <c r="G113" t="s">
        <v>36</v>
      </c>
      <c r="H113">
        <v>0.9</v>
      </c>
      <c r="I113">
        <v>0.9864991173965012</v>
      </c>
      <c r="J113" s="3" t="s">
        <v>278</v>
      </c>
      <c r="K113" s="3" t="s">
        <v>278</v>
      </c>
      <c r="L113" s="3" t="s">
        <v>279</v>
      </c>
      <c r="M113" s="3">
        <f t="shared" si="14"/>
        <v>22</v>
      </c>
      <c r="N113" s="3" t="s">
        <v>704</v>
      </c>
      <c r="O113" s="3"/>
      <c r="P113" s="3">
        <f t="shared" si="22"/>
        <v>0</v>
      </c>
      <c r="Q113" s="3">
        <f t="shared" si="23"/>
        <v>1</v>
      </c>
      <c r="R113" s="4">
        <f t="shared" si="24"/>
        <v>0</v>
      </c>
      <c r="S113" s="4">
        <f t="shared" si="16"/>
        <v>0</v>
      </c>
      <c r="T113" s="4">
        <f t="shared" si="17"/>
        <v>0</v>
      </c>
      <c r="U113" s="4">
        <f t="shared" si="18"/>
        <v>1</v>
      </c>
      <c r="V113" s="4">
        <f t="shared" si="19"/>
        <v>0</v>
      </c>
      <c r="W113" s="4">
        <f t="shared" si="20"/>
        <v>0</v>
      </c>
      <c r="X113" s="4">
        <f t="shared" si="21"/>
        <v>0</v>
      </c>
      <c r="Y113" s="4">
        <f t="shared" si="15"/>
        <v>0</v>
      </c>
    </row>
    <row r="114" spans="1:25" ht="43.5" x14ac:dyDescent="0.35">
      <c r="A114" t="s">
        <v>271</v>
      </c>
      <c r="B114" s="3" t="s">
        <v>272</v>
      </c>
      <c r="C114" t="s">
        <v>262</v>
      </c>
      <c r="D114" t="s">
        <v>280</v>
      </c>
      <c r="E114" t="b">
        <v>0</v>
      </c>
      <c r="F114" t="b">
        <v>1</v>
      </c>
      <c r="G114" t="s">
        <v>157</v>
      </c>
      <c r="H114">
        <v>0.9</v>
      </c>
      <c r="I114">
        <v>0.99998371859303037</v>
      </c>
      <c r="J114" s="3" t="s">
        <v>281</v>
      </c>
      <c r="K114" s="3" t="s">
        <v>281</v>
      </c>
      <c r="L114" s="3" t="s">
        <v>281</v>
      </c>
      <c r="M114" s="3">
        <f t="shared" si="14"/>
        <v>22</v>
      </c>
      <c r="N114" s="3" t="s">
        <v>704</v>
      </c>
      <c r="O114" s="3"/>
      <c r="P114" s="3">
        <f t="shared" si="22"/>
        <v>0</v>
      </c>
      <c r="Q114" s="3">
        <f t="shared" si="23"/>
        <v>1</v>
      </c>
      <c r="R114" s="4">
        <f t="shared" si="24"/>
        <v>0</v>
      </c>
      <c r="S114" s="4">
        <f t="shared" si="16"/>
        <v>0</v>
      </c>
      <c r="T114" s="4">
        <f t="shared" si="17"/>
        <v>0</v>
      </c>
      <c r="U114" s="4">
        <f t="shared" si="18"/>
        <v>1</v>
      </c>
      <c r="V114" s="4">
        <f t="shared" si="19"/>
        <v>0</v>
      </c>
      <c r="W114" s="4">
        <f t="shared" si="20"/>
        <v>0</v>
      </c>
      <c r="X114" s="4">
        <f t="shared" si="21"/>
        <v>0</v>
      </c>
      <c r="Y114" s="4">
        <f t="shared" si="15"/>
        <v>0</v>
      </c>
    </row>
    <row r="115" spans="1:25" ht="43.5" x14ac:dyDescent="0.35">
      <c r="A115" t="s">
        <v>282</v>
      </c>
      <c r="B115" s="3" t="s">
        <v>283</v>
      </c>
      <c r="C115" t="s">
        <v>262</v>
      </c>
      <c r="D115" t="s">
        <v>284</v>
      </c>
      <c r="E115" t="b">
        <v>1</v>
      </c>
      <c r="F115" t="b">
        <v>1</v>
      </c>
      <c r="G115" t="s">
        <v>157</v>
      </c>
      <c r="H115">
        <v>1</v>
      </c>
      <c r="I115">
        <v>0.99999150465660236</v>
      </c>
      <c r="J115" s="3" t="s">
        <v>285</v>
      </c>
      <c r="K115" s="3" t="s">
        <v>285</v>
      </c>
      <c r="L115" s="3" t="s">
        <v>285</v>
      </c>
      <c r="M115" s="3">
        <f t="shared" si="14"/>
        <v>23</v>
      </c>
      <c r="N115" s="3" t="s">
        <v>720</v>
      </c>
      <c r="O115" s="3"/>
      <c r="P115" s="3">
        <f t="shared" si="22"/>
        <v>1</v>
      </c>
      <c r="Q115" s="3">
        <f t="shared" si="23"/>
        <v>0</v>
      </c>
      <c r="R115" s="4">
        <f t="shared" si="24"/>
        <v>0</v>
      </c>
      <c r="S115" s="4">
        <f t="shared" si="16"/>
        <v>0</v>
      </c>
      <c r="T115" s="4">
        <f t="shared" si="17"/>
        <v>0</v>
      </c>
      <c r="U115" s="4">
        <f t="shared" si="18"/>
        <v>0</v>
      </c>
      <c r="V115" s="4">
        <f t="shared" si="19"/>
        <v>0</v>
      </c>
      <c r="W115" s="4">
        <f t="shared" si="20"/>
        <v>0</v>
      </c>
      <c r="X115" s="4">
        <f t="shared" si="21"/>
        <v>0</v>
      </c>
      <c r="Y115" s="4">
        <f t="shared" si="15"/>
        <v>0</v>
      </c>
    </row>
    <row r="116" spans="1:25" ht="29" x14ac:dyDescent="0.35">
      <c r="A116" t="s">
        <v>286</v>
      </c>
      <c r="B116" s="3" t="s">
        <v>287</v>
      </c>
      <c r="C116" t="s">
        <v>262</v>
      </c>
      <c r="D116" t="s">
        <v>288</v>
      </c>
      <c r="E116" t="b">
        <v>0</v>
      </c>
      <c r="F116" t="b">
        <v>1</v>
      </c>
      <c r="G116" t="s">
        <v>51</v>
      </c>
      <c r="H116">
        <v>0.8</v>
      </c>
      <c r="I116">
        <v>0.80779483951162057</v>
      </c>
      <c r="J116" s="3" t="s">
        <v>289</v>
      </c>
      <c r="K116" s="3" t="s">
        <v>289</v>
      </c>
      <c r="L116" s="3" t="s">
        <v>290</v>
      </c>
      <c r="M116" s="3">
        <f t="shared" si="14"/>
        <v>24</v>
      </c>
      <c r="N116" s="3" t="s">
        <v>703</v>
      </c>
      <c r="O116" s="3" t="s">
        <v>712</v>
      </c>
      <c r="P116" s="3">
        <f t="shared" si="22"/>
        <v>0</v>
      </c>
      <c r="Q116" s="3">
        <f t="shared" si="23"/>
        <v>1</v>
      </c>
      <c r="R116" s="4">
        <f t="shared" si="24"/>
        <v>0</v>
      </c>
      <c r="S116" s="4">
        <f t="shared" si="16"/>
        <v>1</v>
      </c>
      <c r="T116" s="4">
        <f t="shared" si="17"/>
        <v>0</v>
      </c>
      <c r="U116" s="4">
        <f t="shared" si="18"/>
        <v>0</v>
      </c>
      <c r="V116" s="4">
        <f t="shared" si="19"/>
        <v>0</v>
      </c>
      <c r="W116" s="4">
        <f t="shared" si="20"/>
        <v>0</v>
      </c>
      <c r="X116" s="4">
        <f t="shared" si="21"/>
        <v>1</v>
      </c>
      <c r="Y116" s="4">
        <f t="shared" si="15"/>
        <v>0</v>
      </c>
    </row>
    <row r="117" spans="1:25" ht="29" x14ac:dyDescent="0.35">
      <c r="A117" t="s">
        <v>286</v>
      </c>
      <c r="B117" s="3" t="s">
        <v>287</v>
      </c>
      <c r="C117" t="s">
        <v>262</v>
      </c>
      <c r="D117" t="s">
        <v>291</v>
      </c>
      <c r="E117" t="b">
        <v>1</v>
      </c>
      <c r="F117" s="5" t="b">
        <v>1</v>
      </c>
      <c r="G117" t="s">
        <v>157</v>
      </c>
      <c r="J117" s="3" t="s">
        <v>292</v>
      </c>
      <c r="M117" s="3">
        <f t="shared" si="14"/>
        <v>24</v>
      </c>
      <c r="N117" s="3" t="s">
        <v>720</v>
      </c>
      <c r="O117" s="3"/>
      <c r="P117" s="3">
        <f t="shared" si="22"/>
        <v>1</v>
      </c>
      <c r="Q117" s="3">
        <f t="shared" si="23"/>
        <v>0</v>
      </c>
      <c r="R117" s="4">
        <f t="shared" si="24"/>
        <v>0</v>
      </c>
      <c r="S117" s="4">
        <f t="shared" si="16"/>
        <v>0</v>
      </c>
      <c r="T117" s="4">
        <f t="shared" si="17"/>
        <v>0</v>
      </c>
      <c r="U117" s="4">
        <f t="shared" si="18"/>
        <v>0</v>
      </c>
      <c r="V117" s="4">
        <f t="shared" si="19"/>
        <v>0</v>
      </c>
      <c r="W117" s="4">
        <f t="shared" si="20"/>
        <v>0</v>
      </c>
      <c r="X117" s="4">
        <f t="shared" si="21"/>
        <v>0</v>
      </c>
      <c r="Y117" s="4">
        <f t="shared" si="15"/>
        <v>0</v>
      </c>
    </row>
    <row r="118" spans="1:25" ht="29" x14ac:dyDescent="0.35">
      <c r="A118" t="s">
        <v>286</v>
      </c>
      <c r="B118" s="3" t="s">
        <v>287</v>
      </c>
      <c r="C118" t="s">
        <v>262</v>
      </c>
      <c r="D118" t="s">
        <v>293</v>
      </c>
      <c r="E118" t="b">
        <v>0</v>
      </c>
      <c r="F118" t="b">
        <v>1</v>
      </c>
      <c r="G118" t="s">
        <v>124</v>
      </c>
      <c r="H118">
        <v>0.8</v>
      </c>
      <c r="I118">
        <v>0.94136285837917244</v>
      </c>
      <c r="J118" s="3" t="s">
        <v>294</v>
      </c>
      <c r="K118" s="3" t="s">
        <v>295</v>
      </c>
      <c r="L118" s="3" t="s">
        <v>296</v>
      </c>
      <c r="M118" s="3">
        <f t="shared" si="14"/>
        <v>24</v>
      </c>
      <c r="N118" s="3" t="s">
        <v>709</v>
      </c>
      <c r="O118" s="3"/>
      <c r="P118" s="3">
        <f t="shared" si="22"/>
        <v>0</v>
      </c>
      <c r="Q118" s="3">
        <f t="shared" si="23"/>
        <v>1</v>
      </c>
      <c r="R118" s="4">
        <f t="shared" si="24"/>
        <v>0</v>
      </c>
      <c r="S118" s="4">
        <f t="shared" si="16"/>
        <v>0</v>
      </c>
      <c r="T118" s="4">
        <f t="shared" si="17"/>
        <v>1</v>
      </c>
      <c r="U118" s="4">
        <f t="shared" si="18"/>
        <v>0</v>
      </c>
      <c r="V118" s="4">
        <f t="shared" si="19"/>
        <v>0</v>
      </c>
      <c r="W118" s="4">
        <f t="shared" si="20"/>
        <v>0</v>
      </c>
      <c r="X118" s="4">
        <f t="shared" si="21"/>
        <v>0</v>
      </c>
      <c r="Y118" s="4">
        <f t="shared" si="15"/>
        <v>0</v>
      </c>
    </row>
    <row r="119" spans="1:25" ht="29" x14ac:dyDescent="0.35">
      <c r="A119" t="s">
        <v>286</v>
      </c>
      <c r="B119" s="3" t="s">
        <v>287</v>
      </c>
      <c r="C119" t="s">
        <v>262</v>
      </c>
      <c r="D119" t="s">
        <v>297</v>
      </c>
      <c r="E119" t="b">
        <v>1</v>
      </c>
      <c r="F119" t="b">
        <v>0</v>
      </c>
      <c r="J119" s="3" t="s">
        <v>298</v>
      </c>
      <c r="M119" s="3">
        <f t="shared" si="14"/>
        <v>24</v>
      </c>
      <c r="N119" s="3" t="s">
        <v>718</v>
      </c>
      <c r="O119" s="3"/>
      <c r="P119" s="3">
        <f t="shared" si="22"/>
        <v>0</v>
      </c>
      <c r="Q119" s="3">
        <f t="shared" si="23"/>
        <v>0</v>
      </c>
      <c r="R119" s="4">
        <f t="shared" si="24"/>
        <v>1</v>
      </c>
      <c r="S119" s="4">
        <f t="shared" si="16"/>
        <v>0</v>
      </c>
      <c r="T119" s="4">
        <f t="shared" si="17"/>
        <v>0</v>
      </c>
      <c r="U119" s="4">
        <f t="shared" si="18"/>
        <v>0</v>
      </c>
      <c r="V119" s="4">
        <f t="shared" si="19"/>
        <v>1</v>
      </c>
      <c r="W119" s="4">
        <f t="shared" si="20"/>
        <v>0</v>
      </c>
      <c r="X119" s="4">
        <f t="shared" si="21"/>
        <v>0</v>
      </c>
      <c r="Y119" s="4">
        <f t="shared" si="15"/>
        <v>0</v>
      </c>
    </row>
    <row r="120" spans="1:25" ht="29" x14ac:dyDescent="0.35">
      <c r="A120" t="s">
        <v>286</v>
      </c>
      <c r="B120" s="3" t="s">
        <v>287</v>
      </c>
      <c r="C120" t="s">
        <v>262</v>
      </c>
      <c r="D120" t="s">
        <v>299</v>
      </c>
      <c r="E120" t="b">
        <v>1</v>
      </c>
      <c r="F120" t="b">
        <v>0</v>
      </c>
      <c r="J120" s="3" t="s">
        <v>300</v>
      </c>
      <c r="M120" s="3">
        <f t="shared" si="14"/>
        <v>24</v>
      </c>
      <c r="N120" s="3" t="s">
        <v>718</v>
      </c>
      <c r="O120" s="3"/>
      <c r="P120" s="3">
        <f t="shared" si="22"/>
        <v>0</v>
      </c>
      <c r="Q120" s="3">
        <f t="shared" si="23"/>
        <v>0</v>
      </c>
      <c r="R120" s="4">
        <f t="shared" si="24"/>
        <v>1</v>
      </c>
      <c r="S120" s="4">
        <f t="shared" si="16"/>
        <v>0</v>
      </c>
      <c r="T120" s="4">
        <f t="shared" si="17"/>
        <v>0</v>
      </c>
      <c r="U120" s="4">
        <f t="shared" si="18"/>
        <v>0</v>
      </c>
      <c r="V120" s="4">
        <f t="shared" si="19"/>
        <v>1</v>
      </c>
      <c r="W120" s="4">
        <f t="shared" si="20"/>
        <v>0</v>
      </c>
      <c r="X120" s="4">
        <f t="shared" si="21"/>
        <v>0</v>
      </c>
      <c r="Y120" s="4">
        <f t="shared" si="15"/>
        <v>0</v>
      </c>
    </row>
    <row r="121" spans="1:25" ht="29" x14ac:dyDescent="0.35">
      <c r="A121" t="s">
        <v>286</v>
      </c>
      <c r="B121" s="3" t="s">
        <v>287</v>
      </c>
      <c r="C121" t="s">
        <v>262</v>
      </c>
      <c r="D121" t="s">
        <v>301</v>
      </c>
      <c r="E121" t="b">
        <v>1</v>
      </c>
      <c r="F121" t="b">
        <v>0</v>
      </c>
      <c r="J121" s="3" t="s">
        <v>302</v>
      </c>
      <c r="M121" s="3">
        <f t="shared" si="14"/>
        <v>24</v>
      </c>
      <c r="N121" s="3" t="s">
        <v>715</v>
      </c>
      <c r="O121" s="3"/>
      <c r="P121" s="3">
        <f t="shared" si="22"/>
        <v>0</v>
      </c>
      <c r="Q121" s="3">
        <f t="shared" si="23"/>
        <v>0</v>
      </c>
      <c r="R121" s="4">
        <f t="shared" si="24"/>
        <v>1</v>
      </c>
      <c r="S121" s="4">
        <f t="shared" si="16"/>
        <v>0</v>
      </c>
      <c r="T121" s="4">
        <f t="shared" si="17"/>
        <v>0</v>
      </c>
      <c r="U121" s="4">
        <f t="shared" si="18"/>
        <v>0</v>
      </c>
      <c r="V121" s="4">
        <f t="shared" si="19"/>
        <v>0</v>
      </c>
      <c r="W121" s="4">
        <f t="shared" si="20"/>
        <v>1</v>
      </c>
      <c r="X121" s="4">
        <f t="shared" si="21"/>
        <v>0</v>
      </c>
      <c r="Y121" s="4">
        <f t="shared" si="15"/>
        <v>0</v>
      </c>
    </row>
    <row r="122" spans="1:25" ht="29" x14ac:dyDescent="0.35">
      <c r="A122" t="s">
        <v>303</v>
      </c>
      <c r="B122" s="3" t="s">
        <v>304</v>
      </c>
      <c r="C122" t="s">
        <v>262</v>
      </c>
      <c r="D122" t="s">
        <v>305</v>
      </c>
      <c r="E122" t="b">
        <v>1</v>
      </c>
      <c r="F122" t="b">
        <v>1</v>
      </c>
      <c r="G122" t="s">
        <v>20</v>
      </c>
      <c r="H122">
        <v>0.9</v>
      </c>
      <c r="I122">
        <v>0.99999059142382596</v>
      </c>
      <c r="J122" s="3" t="s">
        <v>306</v>
      </c>
      <c r="K122" s="3" t="s">
        <v>306</v>
      </c>
      <c r="L122" s="3" t="s">
        <v>306</v>
      </c>
      <c r="M122" s="3">
        <f t="shared" si="14"/>
        <v>25</v>
      </c>
      <c r="N122" s="3" t="s">
        <v>720</v>
      </c>
      <c r="O122" s="3"/>
      <c r="P122" s="3">
        <f t="shared" si="22"/>
        <v>1</v>
      </c>
      <c r="Q122" s="3">
        <f t="shared" si="23"/>
        <v>0</v>
      </c>
      <c r="R122" s="4">
        <f t="shared" si="24"/>
        <v>0</v>
      </c>
      <c r="S122" s="4">
        <f t="shared" si="16"/>
        <v>0</v>
      </c>
      <c r="T122" s="4">
        <f t="shared" si="17"/>
        <v>0</v>
      </c>
      <c r="U122" s="4">
        <f t="shared" si="18"/>
        <v>0</v>
      </c>
      <c r="V122" s="4">
        <f t="shared" si="19"/>
        <v>0</v>
      </c>
      <c r="W122" s="4">
        <f t="shared" si="20"/>
        <v>0</v>
      </c>
      <c r="X122" s="4">
        <f t="shared" si="21"/>
        <v>0</v>
      </c>
      <c r="Y122" s="4">
        <f t="shared" si="15"/>
        <v>0</v>
      </c>
    </row>
    <row r="123" spans="1:25" ht="29" x14ac:dyDescent="0.35">
      <c r="A123" t="s">
        <v>303</v>
      </c>
      <c r="B123" s="3" t="s">
        <v>304</v>
      </c>
      <c r="C123" t="s">
        <v>262</v>
      </c>
      <c r="D123" t="s">
        <v>307</v>
      </c>
      <c r="E123" t="b">
        <v>0</v>
      </c>
      <c r="F123" t="b">
        <v>1</v>
      </c>
      <c r="G123" t="s">
        <v>20</v>
      </c>
      <c r="H123">
        <v>0.9</v>
      </c>
      <c r="I123">
        <v>0.999988317148926</v>
      </c>
      <c r="J123" s="3" t="s">
        <v>308</v>
      </c>
      <c r="K123" s="3" t="s">
        <v>308</v>
      </c>
      <c r="L123" s="3" t="s">
        <v>308</v>
      </c>
      <c r="M123" s="3">
        <f t="shared" si="14"/>
        <v>25</v>
      </c>
      <c r="N123" s="3" t="s">
        <v>704</v>
      </c>
      <c r="O123" s="3"/>
      <c r="P123" s="3">
        <f t="shared" si="22"/>
        <v>0</v>
      </c>
      <c r="Q123" s="3">
        <f t="shared" si="23"/>
        <v>1</v>
      </c>
      <c r="R123" s="4">
        <f t="shared" si="24"/>
        <v>0</v>
      </c>
      <c r="S123" s="4">
        <f t="shared" si="16"/>
        <v>0</v>
      </c>
      <c r="T123" s="4">
        <f t="shared" si="17"/>
        <v>0</v>
      </c>
      <c r="U123" s="4">
        <f t="shared" si="18"/>
        <v>1</v>
      </c>
      <c r="V123" s="4">
        <f t="shared" si="19"/>
        <v>0</v>
      </c>
      <c r="W123" s="4">
        <f t="shared" si="20"/>
        <v>0</v>
      </c>
      <c r="X123" s="4">
        <f t="shared" si="21"/>
        <v>0</v>
      </c>
      <c r="Y123" s="4">
        <f t="shared" si="15"/>
        <v>0</v>
      </c>
    </row>
    <row r="124" spans="1:25" ht="29" x14ac:dyDescent="0.35">
      <c r="A124" t="s">
        <v>303</v>
      </c>
      <c r="B124" s="3" t="s">
        <v>304</v>
      </c>
      <c r="C124" t="s">
        <v>262</v>
      </c>
      <c r="D124" t="s">
        <v>309</v>
      </c>
      <c r="E124" t="b">
        <v>0</v>
      </c>
      <c r="F124" t="b">
        <v>1</v>
      </c>
      <c r="G124" t="s">
        <v>51</v>
      </c>
      <c r="H124">
        <v>0.8</v>
      </c>
      <c r="I124">
        <v>0.99998974292376963</v>
      </c>
      <c r="J124" s="3" t="s">
        <v>310</v>
      </c>
      <c r="K124" s="3" t="s">
        <v>311</v>
      </c>
      <c r="L124" s="3" t="s">
        <v>311</v>
      </c>
      <c r="M124" s="3">
        <f t="shared" si="14"/>
        <v>25</v>
      </c>
      <c r="N124" s="3" t="s">
        <v>703</v>
      </c>
      <c r="O124" s="3"/>
      <c r="P124" s="3">
        <f t="shared" si="22"/>
        <v>0</v>
      </c>
      <c r="Q124" s="3">
        <f t="shared" si="23"/>
        <v>1</v>
      </c>
      <c r="R124" s="4">
        <f t="shared" si="24"/>
        <v>0</v>
      </c>
      <c r="S124" s="4">
        <f t="shared" si="16"/>
        <v>1</v>
      </c>
      <c r="T124" s="4">
        <f t="shared" si="17"/>
        <v>0</v>
      </c>
      <c r="U124" s="4">
        <f t="shared" si="18"/>
        <v>0</v>
      </c>
      <c r="V124" s="4">
        <f t="shared" si="19"/>
        <v>0</v>
      </c>
      <c r="W124" s="4">
        <f t="shared" si="20"/>
        <v>0</v>
      </c>
      <c r="X124" s="4">
        <f t="shared" si="21"/>
        <v>0</v>
      </c>
      <c r="Y124" s="4">
        <f t="shared" si="15"/>
        <v>0</v>
      </c>
    </row>
    <row r="125" spans="1:25" ht="29" x14ac:dyDescent="0.35">
      <c r="A125" t="s">
        <v>303</v>
      </c>
      <c r="B125" s="3" t="s">
        <v>304</v>
      </c>
      <c r="C125" t="s">
        <v>262</v>
      </c>
      <c r="D125" t="s">
        <v>312</v>
      </c>
      <c r="E125" t="b">
        <v>1</v>
      </c>
      <c r="F125" t="b">
        <v>0</v>
      </c>
      <c r="J125" s="3" t="s">
        <v>313</v>
      </c>
      <c r="M125" s="3">
        <f t="shared" si="14"/>
        <v>25</v>
      </c>
      <c r="N125" s="3" t="s">
        <v>718</v>
      </c>
      <c r="O125" s="3"/>
      <c r="P125" s="3">
        <f t="shared" si="22"/>
        <v>0</v>
      </c>
      <c r="Q125" s="3">
        <f t="shared" si="23"/>
        <v>0</v>
      </c>
      <c r="R125" s="4">
        <f t="shared" si="24"/>
        <v>1</v>
      </c>
      <c r="S125" s="4">
        <f t="shared" si="16"/>
        <v>0</v>
      </c>
      <c r="T125" s="4">
        <f t="shared" si="17"/>
        <v>0</v>
      </c>
      <c r="U125" s="4">
        <f t="shared" si="18"/>
        <v>0</v>
      </c>
      <c r="V125" s="4">
        <f t="shared" si="19"/>
        <v>1</v>
      </c>
      <c r="W125" s="4">
        <f t="shared" si="20"/>
        <v>0</v>
      </c>
      <c r="X125" s="4">
        <f t="shared" si="21"/>
        <v>0</v>
      </c>
      <c r="Y125" s="4">
        <f t="shared" si="15"/>
        <v>0</v>
      </c>
    </row>
    <row r="126" spans="1:25" ht="29" x14ac:dyDescent="0.35">
      <c r="A126" t="s">
        <v>314</v>
      </c>
      <c r="B126" s="3" t="s">
        <v>315</v>
      </c>
      <c r="C126" t="s">
        <v>262</v>
      </c>
      <c r="D126" t="s">
        <v>316</v>
      </c>
      <c r="E126" t="b">
        <v>1</v>
      </c>
      <c r="F126" t="b">
        <v>1</v>
      </c>
      <c r="G126" t="s">
        <v>20</v>
      </c>
      <c r="H126">
        <v>1</v>
      </c>
      <c r="I126">
        <v>0.99999097432018458</v>
      </c>
      <c r="J126" s="3" t="s">
        <v>317</v>
      </c>
      <c r="K126" s="3" t="s">
        <v>317</v>
      </c>
      <c r="L126" s="3" t="s">
        <v>317</v>
      </c>
      <c r="M126" s="3">
        <f t="shared" si="14"/>
        <v>26</v>
      </c>
      <c r="N126" s="3" t="s">
        <v>720</v>
      </c>
      <c r="O126" s="3"/>
      <c r="P126" s="3">
        <f t="shared" si="22"/>
        <v>1</v>
      </c>
      <c r="Q126" s="3">
        <f t="shared" si="23"/>
        <v>0</v>
      </c>
      <c r="R126" s="4">
        <f t="shared" si="24"/>
        <v>0</v>
      </c>
      <c r="S126" s="4">
        <f t="shared" si="16"/>
        <v>0</v>
      </c>
      <c r="T126" s="4">
        <f t="shared" si="17"/>
        <v>0</v>
      </c>
      <c r="U126" s="4">
        <f t="shared" si="18"/>
        <v>0</v>
      </c>
      <c r="V126" s="4">
        <f t="shared" si="19"/>
        <v>0</v>
      </c>
      <c r="W126" s="4">
        <f t="shared" si="20"/>
        <v>0</v>
      </c>
      <c r="X126" s="4">
        <f t="shared" si="21"/>
        <v>0</v>
      </c>
      <c r="Y126" s="4">
        <f t="shared" si="15"/>
        <v>0</v>
      </c>
    </row>
    <row r="127" spans="1:25" ht="29" x14ac:dyDescent="0.35">
      <c r="A127" t="s">
        <v>314</v>
      </c>
      <c r="B127" s="3" t="s">
        <v>315</v>
      </c>
      <c r="C127" t="s">
        <v>262</v>
      </c>
      <c r="D127" t="s">
        <v>318</v>
      </c>
      <c r="E127" t="b">
        <v>0</v>
      </c>
      <c r="F127" t="b">
        <v>1</v>
      </c>
      <c r="G127" t="s">
        <v>36</v>
      </c>
      <c r="H127">
        <v>0.9</v>
      </c>
      <c r="I127">
        <v>0.99999198394553801</v>
      </c>
      <c r="J127" s="3" t="s">
        <v>319</v>
      </c>
      <c r="K127" s="3" t="s">
        <v>319</v>
      </c>
      <c r="L127" s="3" t="s">
        <v>319</v>
      </c>
      <c r="M127" s="3">
        <f t="shared" si="14"/>
        <v>26</v>
      </c>
      <c r="N127" s="3" t="s">
        <v>709</v>
      </c>
      <c r="O127" s="3"/>
      <c r="P127" s="3">
        <f t="shared" si="22"/>
        <v>0</v>
      </c>
      <c r="Q127" s="3">
        <f t="shared" si="23"/>
        <v>1</v>
      </c>
      <c r="R127" s="4">
        <f t="shared" si="24"/>
        <v>0</v>
      </c>
      <c r="S127" s="4">
        <f t="shared" si="16"/>
        <v>0</v>
      </c>
      <c r="T127" s="4">
        <f t="shared" si="17"/>
        <v>1</v>
      </c>
      <c r="U127" s="4">
        <f t="shared" si="18"/>
        <v>0</v>
      </c>
      <c r="V127" s="4">
        <f t="shared" si="19"/>
        <v>0</v>
      </c>
      <c r="W127" s="4">
        <f t="shared" si="20"/>
        <v>0</v>
      </c>
      <c r="X127" s="4">
        <f t="shared" si="21"/>
        <v>0</v>
      </c>
      <c r="Y127" s="4">
        <f t="shared" si="15"/>
        <v>0</v>
      </c>
    </row>
    <row r="128" spans="1:25" ht="29" x14ac:dyDescent="0.35">
      <c r="A128" t="s">
        <v>314</v>
      </c>
      <c r="B128" s="3" t="s">
        <v>315</v>
      </c>
      <c r="C128" t="s">
        <v>262</v>
      </c>
      <c r="D128" t="s">
        <v>320</v>
      </c>
      <c r="E128" t="b">
        <v>0</v>
      </c>
      <c r="F128" t="b">
        <v>1</v>
      </c>
      <c r="G128" t="s">
        <v>20</v>
      </c>
      <c r="H128">
        <v>0.9</v>
      </c>
      <c r="I128">
        <v>0.99998652130598265</v>
      </c>
      <c r="J128" s="3" t="s">
        <v>321</v>
      </c>
      <c r="K128" s="3" t="s">
        <v>321</v>
      </c>
      <c r="L128" s="3" t="s">
        <v>321</v>
      </c>
      <c r="M128" s="3">
        <f t="shared" si="14"/>
        <v>26</v>
      </c>
      <c r="N128" s="3" t="s">
        <v>704</v>
      </c>
      <c r="O128" s="3"/>
      <c r="P128" s="3">
        <f t="shared" si="22"/>
        <v>0</v>
      </c>
      <c r="Q128" s="3">
        <f t="shared" si="23"/>
        <v>1</v>
      </c>
      <c r="R128" s="4">
        <f t="shared" si="24"/>
        <v>0</v>
      </c>
      <c r="S128" s="4">
        <f t="shared" si="16"/>
        <v>0</v>
      </c>
      <c r="T128" s="4">
        <f t="shared" si="17"/>
        <v>0</v>
      </c>
      <c r="U128" s="4">
        <f t="shared" si="18"/>
        <v>1</v>
      </c>
      <c r="V128" s="4">
        <f t="shared" si="19"/>
        <v>0</v>
      </c>
      <c r="W128" s="4">
        <f t="shared" si="20"/>
        <v>0</v>
      </c>
      <c r="X128" s="4">
        <f t="shared" si="21"/>
        <v>0</v>
      </c>
      <c r="Y128" s="4">
        <f t="shared" si="15"/>
        <v>0</v>
      </c>
    </row>
    <row r="129" spans="1:25" ht="29" x14ac:dyDescent="0.35">
      <c r="A129" t="s">
        <v>314</v>
      </c>
      <c r="B129" s="3" t="s">
        <v>315</v>
      </c>
      <c r="C129" t="s">
        <v>262</v>
      </c>
      <c r="D129" t="s">
        <v>322</v>
      </c>
      <c r="E129" t="b">
        <v>1</v>
      </c>
      <c r="F129" t="b">
        <v>0</v>
      </c>
      <c r="J129" s="3" t="s">
        <v>323</v>
      </c>
      <c r="M129" s="3">
        <f t="shared" si="14"/>
        <v>26</v>
      </c>
      <c r="N129" s="3" t="s">
        <v>718</v>
      </c>
      <c r="O129" s="3"/>
      <c r="P129" s="3">
        <f t="shared" si="22"/>
        <v>0</v>
      </c>
      <c r="Q129" s="3">
        <f t="shared" si="23"/>
        <v>0</v>
      </c>
      <c r="R129" s="4">
        <f t="shared" si="24"/>
        <v>1</v>
      </c>
      <c r="S129" s="4">
        <f t="shared" si="16"/>
        <v>0</v>
      </c>
      <c r="T129" s="4">
        <f t="shared" si="17"/>
        <v>0</v>
      </c>
      <c r="U129" s="4">
        <f t="shared" si="18"/>
        <v>0</v>
      </c>
      <c r="V129" s="4">
        <f t="shared" si="19"/>
        <v>1</v>
      </c>
      <c r="W129" s="4">
        <f t="shared" si="20"/>
        <v>0</v>
      </c>
      <c r="X129" s="4">
        <f t="shared" si="21"/>
        <v>0</v>
      </c>
      <c r="Y129" s="4">
        <f t="shared" si="15"/>
        <v>0</v>
      </c>
    </row>
    <row r="130" spans="1:25" ht="29" x14ac:dyDescent="0.35">
      <c r="A130" t="s">
        <v>324</v>
      </c>
      <c r="B130" s="3" t="s">
        <v>325</v>
      </c>
      <c r="C130" t="s">
        <v>262</v>
      </c>
      <c r="D130" t="s">
        <v>326</v>
      </c>
      <c r="E130" t="b">
        <v>0</v>
      </c>
      <c r="F130" t="b">
        <v>1</v>
      </c>
      <c r="G130" t="s">
        <v>16</v>
      </c>
      <c r="H130">
        <v>0.9</v>
      </c>
      <c r="I130">
        <v>0.99998389275414779</v>
      </c>
      <c r="J130" s="3" t="s">
        <v>327</v>
      </c>
      <c r="K130" s="3" t="s">
        <v>327</v>
      </c>
      <c r="L130" s="3" t="s">
        <v>327</v>
      </c>
      <c r="M130" s="3">
        <f t="shared" ref="M130:M193" si="25">IF(A130&lt;&gt;A129,M129 + 1, M129)</f>
        <v>27</v>
      </c>
      <c r="N130" s="3" t="s">
        <v>703</v>
      </c>
      <c r="O130" s="3"/>
      <c r="P130" s="3">
        <f t="shared" si="22"/>
        <v>0</v>
      </c>
      <c r="Q130" s="3">
        <f t="shared" si="23"/>
        <v>1</v>
      </c>
      <c r="R130" s="4">
        <f t="shared" si="24"/>
        <v>0</v>
      </c>
      <c r="S130" s="4">
        <f t="shared" si="16"/>
        <v>1</v>
      </c>
      <c r="T130" s="4">
        <f t="shared" si="17"/>
        <v>0</v>
      </c>
      <c r="U130" s="4">
        <f t="shared" si="18"/>
        <v>0</v>
      </c>
      <c r="V130" s="4">
        <f t="shared" si="19"/>
        <v>0</v>
      </c>
      <c r="W130" s="4">
        <f t="shared" si="20"/>
        <v>0</v>
      </c>
      <c r="X130" s="4">
        <f t="shared" si="21"/>
        <v>0</v>
      </c>
      <c r="Y130" s="4">
        <f t="shared" ref="Y130:Y193" si="26">IF($O130="MEA", 1, 0)</f>
        <v>0</v>
      </c>
    </row>
    <row r="131" spans="1:25" ht="29" x14ac:dyDescent="0.35">
      <c r="A131" t="s">
        <v>324</v>
      </c>
      <c r="B131" s="3" t="s">
        <v>325</v>
      </c>
      <c r="C131" t="s">
        <v>262</v>
      </c>
      <c r="D131" t="s">
        <v>328</v>
      </c>
      <c r="E131" t="b">
        <v>1</v>
      </c>
      <c r="F131" t="b">
        <v>1</v>
      </c>
      <c r="G131" t="s">
        <v>20</v>
      </c>
      <c r="H131">
        <v>0.9</v>
      </c>
      <c r="I131">
        <v>0.99998824321446522</v>
      </c>
      <c r="J131" s="3" t="s">
        <v>329</v>
      </c>
      <c r="K131" s="3" t="s">
        <v>329</v>
      </c>
      <c r="L131" s="3" t="s">
        <v>329</v>
      </c>
      <c r="M131" s="3">
        <f t="shared" si="25"/>
        <v>27</v>
      </c>
      <c r="N131" s="3" t="s">
        <v>720</v>
      </c>
      <c r="O131" s="3"/>
      <c r="P131" s="3">
        <f t="shared" si="22"/>
        <v>1</v>
      </c>
      <c r="Q131" s="3">
        <f t="shared" si="23"/>
        <v>0</v>
      </c>
      <c r="R131" s="4">
        <f t="shared" si="24"/>
        <v>0</v>
      </c>
      <c r="S131" s="4">
        <f t="shared" ref="S131:S194" si="27">IF($N131="FP0", 1, 0)</f>
        <v>0</v>
      </c>
      <c r="T131" s="4">
        <f t="shared" ref="T131:T194" si="28">IF($N131="FP1", 1, 0)</f>
        <v>0</v>
      </c>
      <c r="U131" s="4">
        <f t="shared" ref="U131:U194" si="29">IF($N131="FP2", 1, 0)</f>
        <v>0</v>
      </c>
      <c r="V131" s="4">
        <f t="shared" ref="V131:V194" si="30">IF($N131="FNM", 1, 0)</f>
        <v>0</v>
      </c>
      <c r="W131" s="4">
        <f t="shared" ref="W131:W194" si="31">IF($N131="FNC", 1, 0)</f>
        <v>0</v>
      </c>
      <c r="X131" s="4">
        <f t="shared" ref="X131:X194" si="32">IF($O131="MEU", 1, 0)</f>
        <v>0</v>
      </c>
      <c r="Y131" s="4">
        <f t="shared" si="26"/>
        <v>0</v>
      </c>
    </row>
    <row r="132" spans="1:25" ht="29" x14ac:dyDescent="0.35">
      <c r="A132" t="s">
        <v>324</v>
      </c>
      <c r="B132" s="3" t="s">
        <v>325</v>
      </c>
      <c r="C132" t="s">
        <v>262</v>
      </c>
      <c r="D132" t="s">
        <v>330</v>
      </c>
      <c r="E132" t="b">
        <v>0</v>
      </c>
      <c r="F132" t="b">
        <v>1</v>
      </c>
      <c r="G132" t="s">
        <v>157</v>
      </c>
      <c r="H132">
        <v>0.8</v>
      </c>
      <c r="I132">
        <v>0.9999923864878052</v>
      </c>
      <c r="J132" s="3" t="s">
        <v>331</v>
      </c>
      <c r="K132" s="3" t="s">
        <v>331</v>
      </c>
      <c r="L132" s="3" t="s">
        <v>331</v>
      </c>
      <c r="M132" s="3">
        <f t="shared" si="25"/>
        <v>27</v>
      </c>
      <c r="N132" s="3" t="s">
        <v>704</v>
      </c>
      <c r="O132" s="3"/>
      <c r="P132" s="3">
        <f t="shared" si="22"/>
        <v>0</v>
      </c>
      <c r="Q132" s="3">
        <f t="shared" si="23"/>
        <v>1</v>
      </c>
      <c r="R132" s="4">
        <f t="shared" si="24"/>
        <v>0</v>
      </c>
      <c r="S132" s="4">
        <f t="shared" si="27"/>
        <v>0</v>
      </c>
      <c r="T132" s="4">
        <f t="shared" si="28"/>
        <v>0</v>
      </c>
      <c r="U132" s="4">
        <f t="shared" si="29"/>
        <v>1</v>
      </c>
      <c r="V132" s="4">
        <f t="shared" si="30"/>
        <v>0</v>
      </c>
      <c r="W132" s="4">
        <f t="shared" si="31"/>
        <v>0</v>
      </c>
      <c r="X132" s="4">
        <f t="shared" si="32"/>
        <v>0</v>
      </c>
      <c r="Y132" s="4">
        <f t="shared" si="26"/>
        <v>0</v>
      </c>
    </row>
    <row r="133" spans="1:25" ht="29" x14ac:dyDescent="0.35">
      <c r="A133" t="s">
        <v>324</v>
      </c>
      <c r="B133" s="3" t="s">
        <v>325</v>
      </c>
      <c r="C133" t="s">
        <v>262</v>
      </c>
      <c r="D133" t="s">
        <v>332</v>
      </c>
      <c r="E133" t="b">
        <v>1</v>
      </c>
      <c r="F133" t="b">
        <v>0</v>
      </c>
      <c r="J133" s="3" t="s">
        <v>333</v>
      </c>
      <c r="M133" s="3">
        <f t="shared" si="25"/>
        <v>27</v>
      </c>
      <c r="N133" s="3" t="s">
        <v>718</v>
      </c>
      <c r="O133" s="3"/>
      <c r="P133" s="3">
        <f t="shared" si="22"/>
        <v>0</v>
      </c>
      <c r="Q133" s="3">
        <f t="shared" si="23"/>
        <v>0</v>
      </c>
      <c r="R133" s="4">
        <f t="shared" si="24"/>
        <v>1</v>
      </c>
      <c r="S133" s="4">
        <f t="shared" si="27"/>
        <v>0</v>
      </c>
      <c r="T133" s="4">
        <f t="shared" si="28"/>
        <v>0</v>
      </c>
      <c r="U133" s="4">
        <f t="shared" si="29"/>
        <v>0</v>
      </c>
      <c r="V133" s="4">
        <f t="shared" si="30"/>
        <v>1</v>
      </c>
      <c r="W133" s="4">
        <f t="shared" si="31"/>
        <v>0</v>
      </c>
      <c r="X133" s="4">
        <f t="shared" si="32"/>
        <v>0</v>
      </c>
      <c r="Y133" s="4">
        <f t="shared" si="26"/>
        <v>0</v>
      </c>
    </row>
    <row r="134" spans="1:25" ht="29" x14ac:dyDescent="0.35">
      <c r="A134" t="s">
        <v>334</v>
      </c>
      <c r="B134" s="3" t="s">
        <v>335</v>
      </c>
      <c r="C134" t="s">
        <v>262</v>
      </c>
      <c r="D134" t="s">
        <v>336</v>
      </c>
      <c r="E134" t="b">
        <v>0</v>
      </c>
      <c r="F134" t="b">
        <v>1</v>
      </c>
      <c r="G134" t="s">
        <v>157</v>
      </c>
      <c r="H134">
        <v>1</v>
      </c>
      <c r="I134">
        <v>0.99998971365403899</v>
      </c>
      <c r="J134" s="3" t="s">
        <v>337</v>
      </c>
      <c r="K134" s="3" t="s">
        <v>338</v>
      </c>
      <c r="L134" s="3" t="s">
        <v>338</v>
      </c>
      <c r="M134" s="3">
        <f t="shared" si="25"/>
        <v>28</v>
      </c>
      <c r="N134" s="3" t="s">
        <v>704</v>
      </c>
      <c r="O134" s="3"/>
      <c r="P134" s="3">
        <f t="shared" si="22"/>
        <v>0</v>
      </c>
      <c r="Q134" s="3">
        <f t="shared" si="23"/>
        <v>1</v>
      </c>
      <c r="R134" s="4">
        <f t="shared" si="24"/>
        <v>0</v>
      </c>
      <c r="S134" s="4">
        <f t="shared" si="27"/>
        <v>0</v>
      </c>
      <c r="T134" s="4">
        <f t="shared" si="28"/>
        <v>0</v>
      </c>
      <c r="U134" s="4">
        <f t="shared" si="29"/>
        <v>1</v>
      </c>
      <c r="V134" s="4">
        <f t="shared" si="30"/>
        <v>0</v>
      </c>
      <c r="W134" s="4">
        <f t="shared" si="31"/>
        <v>0</v>
      </c>
      <c r="X134" s="4">
        <f t="shared" si="32"/>
        <v>0</v>
      </c>
      <c r="Y134" s="4">
        <f t="shared" si="26"/>
        <v>0</v>
      </c>
    </row>
    <row r="135" spans="1:25" ht="29" x14ac:dyDescent="0.35">
      <c r="A135" t="s">
        <v>334</v>
      </c>
      <c r="B135" s="3" t="s">
        <v>335</v>
      </c>
      <c r="C135" t="s">
        <v>262</v>
      </c>
      <c r="D135" t="s">
        <v>339</v>
      </c>
      <c r="E135" t="b">
        <v>0</v>
      </c>
      <c r="F135" t="b">
        <v>1</v>
      </c>
      <c r="G135" t="s">
        <v>20</v>
      </c>
      <c r="H135">
        <v>0.9</v>
      </c>
      <c r="I135">
        <v>0.99999111535336205</v>
      </c>
      <c r="J135" s="3" t="s">
        <v>340</v>
      </c>
      <c r="K135" s="3" t="s">
        <v>341</v>
      </c>
      <c r="L135" s="3" t="s">
        <v>341</v>
      </c>
      <c r="M135" s="3">
        <f t="shared" si="25"/>
        <v>28</v>
      </c>
      <c r="N135" s="3" t="s">
        <v>704</v>
      </c>
      <c r="O135" s="3"/>
      <c r="P135" s="3">
        <f t="shared" si="22"/>
        <v>0</v>
      </c>
      <c r="Q135" s="3">
        <f t="shared" si="23"/>
        <v>1</v>
      </c>
      <c r="R135" s="4">
        <f t="shared" si="24"/>
        <v>0</v>
      </c>
      <c r="S135" s="4">
        <f t="shared" si="27"/>
        <v>0</v>
      </c>
      <c r="T135" s="4">
        <f t="shared" si="28"/>
        <v>0</v>
      </c>
      <c r="U135" s="4">
        <f t="shared" si="29"/>
        <v>1</v>
      </c>
      <c r="V135" s="4">
        <f t="shared" si="30"/>
        <v>0</v>
      </c>
      <c r="W135" s="4">
        <f t="shared" si="31"/>
        <v>0</v>
      </c>
      <c r="X135" s="4">
        <f t="shared" si="32"/>
        <v>0</v>
      </c>
      <c r="Y135" s="4">
        <f t="shared" si="26"/>
        <v>0</v>
      </c>
    </row>
    <row r="136" spans="1:25" ht="29" x14ac:dyDescent="0.35">
      <c r="A136" t="s">
        <v>334</v>
      </c>
      <c r="B136" s="3" t="s">
        <v>335</v>
      </c>
      <c r="C136" t="s">
        <v>262</v>
      </c>
      <c r="D136" t="s">
        <v>342</v>
      </c>
      <c r="E136" t="b">
        <v>0</v>
      </c>
      <c r="F136" t="b">
        <v>1</v>
      </c>
      <c r="G136" t="s">
        <v>20</v>
      </c>
      <c r="H136">
        <v>0.9</v>
      </c>
      <c r="I136">
        <v>0.81729103006713033</v>
      </c>
      <c r="J136" s="3" t="s">
        <v>343</v>
      </c>
      <c r="K136" s="3" t="s">
        <v>343</v>
      </c>
      <c r="L136" s="3" t="s">
        <v>344</v>
      </c>
      <c r="M136" s="3">
        <f t="shared" si="25"/>
        <v>28</v>
      </c>
      <c r="N136" s="3" t="s">
        <v>704</v>
      </c>
      <c r="O136" s="3"/>
      <c r="P136" s="3">
        <f t="shared" si="22"/>
        <v>0</v>
      </c>
      <c r="Q136" s="3">
        <f t="shared" si="23"/>
        <v>1</v>
      </c>
      <c r="R136" s="4">
        <f t="shared" si="24"/>
        <v>0</v>
      </c>
      <c r="S136" s="4">
        <f t="shared" si="27"/>
        <v>0</v>
      </c>
      <c r="T136" s="4">
        <f t="shared" si="28"/>
        <v>0</v>
      </c>
      <c r="U136" s="4">
        <f t="shared" si="29"/>
        <v>1</v>
      </c>
      <c r="V136" s="4">
        <f t="shared" si="30"/>
        <v>0</v>
      </c>
      <c r="W136" s="4">
        <f t="shared" si="31"/>
        <v>0</v>
      </c>
      <c r="X136" s="4">
        <f t="shared" si="32"/>
        <v>0</v>
      </c>
      <c r="Y136" s="4">
        <f t="shared" si="26"/>
        <v>0</v>
      </c>
    </row>
    <row r="137" spans="1:25" ht="29" x14ac:dyDescent="0.35">
      <c r="A137" t="s">
        <v>334</v>
      </c>
      <c r="B137" s="3" t="s">
        <v>335</v>
      </c>
      <c r="C137" t="s">
        <v>262</v>
      </c>
      <c r="D137" t="s">
        <v>345</v>
      </c>
      <c r="E137" t="b">
        <v>1</v>
      </c>
      <c r="F137" t="b">
        <v>0</v>
      </c>
      <c r="J137" s="3" t="s">
        <v>346</v>
      </c>
      <c r="M137" s="3">
        <f t="shared" si="25"/>
        <v>28</v>
      </c>
      <c r="N137" s="3" t="s">
        <v>715</v>
      </c>
      <c r="O137" s="3"/>
      <c r="P137" s="3">
        <f t="shared" si="22"/>
        <v>0</v>
      </c>
      <c r="Q137" s="3">
        <f t="shared" si="23"/>
        <v>0</v>
      </c>
      <c r="R137" s="4">
        <f t="shared" si="24"/>
        <v>1</v>
      </c>
      <c r="S137" s="4">
        <f t="shared" si="27"/>
        <v>0</v>
      </c>
      <c r="T137" s="4">
        <f t="shared" si="28"/>
        <v>0</v>
      </c>
      <c r="U137" s="4">
        <f t="shared" si="29"/>
        <v>0</v>
      </c>
      <c r="V137" s="4">
        <f t="shared" si="30"/>
        <v>0</v>
      </c>
      <c r="W137" s="4">
        <f t="shared" si="31"/>
        <v>1</v>
      </c>
      <c r="X137" s="4">
        <f t="shared" si="32"/>
        <v>0</v>
      </c>
      <c r="Y137" s="4">
        <f t="shared" si="26"/>
        <v>0</v>
      </c>
    </row>
    <row r="138" spans="1:25" ht="29" x14ac:dyDescent="0.35">
      <c r="A138" t="s">
        <v>334</v>
      </c>
      <c r="B138" s="3" t="s">
        <v>335</v>
      </c>
      <c r="C138" t="s">
        <v>262</v>
      </c>
      <c r="D138" t="s">
        <v>347</v>
      </c>
      <c r="E138" t="b">
        <v>1</v>
      </c>
      <c r="F138" t="b">
        <v>0</v>
      </c>
      <c r="J138" s="3" t="s">
        <v>348</v>
      </c>
      <c r="M138" s="3">
        <f t="shared" si="25"/>
        <v>28</v>
      </c>
      <c r="N138" s="3" t="s">
        <v>718</v>
      </c>
      <c r="O138" s="3"/>
      <c r="P138" s="3">
        <f t="shared" si="22"/>
        <v>0</v>
      </c>
      <c r="Q138" s="3">
        <f t="shared" si="23"/>
        <v>0</v>
      </c>
      <c r="R138" s="4">
        <f t="shared" si="24"/>
        <v>1</v>
      </c>
      <c r="S138" s="4">
        <f t="shared" si="27"/>
        <v>0</v>
      </c>
      <c r="T138" s="4">
        <f t="shared" si="28"/>
        <v>0</v>
      </c>
      <c r="U138" s="4">
        <f t="shared" si="29"/>
        <v>0</v>
      </c>
      <c r="V138" s="4">
        <f t="shared" si="30"/>
        <v>1</v>
      </c>
      <c r="W138" s="4">
        <f t="shared" si="31"/>
        <v>0</v>
      </c>
      <c r="X138" s="4">
        <f t="shared" si="32"/>
        <v>0</v>
      </c>
      <c r="Y138" s="4">
        <f t="shared" si="26"/>
        <v>0</v>
      </c>
    </row>
    <row r="139" spans="1:25" ht="43.5" x14ac:dyDescent="0.35">
      <c r="A139" t="s">
        <v>349</v>
      </c>
      <c r="B139" s="3" t="s">
        <v>350</v>
      </c>
      <c r="C139" t="s">
        <v>351</v>
      </c>
      <c r="D139" t="s">
        <v>352</v>
      </c>
      <c r="E139" t="b">
        <v>1</v>
      </c>
      <c r="F139" t="b">
        <v>1</v>
      </c>
      <c r="G139" t="s">
        <v>20</v>
      </c>
      <c r="H139">
        <v>1</v>
      </c>
      <c r="I139">
        <v>0.99998903419178564</v>
      </c>
      <c r="J139" s="3" t="s">
        <v>353</v>
      </c>
      <c r="K139" s="3" t="s">
        <v>353</v>
      </c>
      <c r="L139" s="3" t="s">
        <v>353</v>
      </c>
      <c r="M139" s="3">
        <f t="shared" si="25"/>
        <v>29</v>
      </c>
      <c r="N139" s="3" t="s">
        <v>720</v>
      </c>
      <c r="O139" s="3"/>
      <c r="P139" s="3">
        <f t="shared" si="22"/>
        <v>1</v>
      </c>
      <c r="Q139" s="3">
        <f t="shared" si="23"/>
        <v>0</v>
      </c>
      <c r="R139" s="4">
        <f t="shared" si="24"/>
        <v>0</v>
      </c>
      <c r="S139" s="4">
        <f t="shared" si="27"/>
        <v>0</v>
      </c>
      <c r="T139" s="4">
        <f t="shared" si="28"/>
        <v>0</v>
      </c>
      <c r="U139" s="4">
        <f t="shared" si="29"/>
        <v>0</v>
      </c>
      <c r="V139" s="4">
        <f t="shared" si="30"/>
        <v>0</v>
      </c>
      <c r="W139" s="4">
        <f t="shared" si="31"/>
        <v>0</v>
      </c>
      <c r="X139" s="4">
        <f t="shared" si="32"/>
        <v>0</v>
      </c>
      <c r="Y139" s="4">
        <f t="shared" si="26"/>
        <v>0</v>
      </c>
    </row>
    <row r="140" spans="1:25" ht="43.5" x14ac:dyDescent="0.35">
      <c r="A140" t="s">
        <v>349</v>
      </c>
      <c r="B140" s="3" t="s">
        <v>350</v>
      </c>
      <c r="C140" t="s">
        <v>351</v>
      </c>
      <c r="D140" t="s">
        <v>354</v>
      </c>
      <c r="E140" t="b">
        <v>0</v>
      </c>
      <c r="F140" t="b">
        <v>1</v>
      </c>
      <c r="G140" t="s">
        <v>36</v>
      </c>
      <c r="H140">
        <v>0.9</v>
      </c>
      <c r="I140">
        <v>0.99998853311471281</v>
      </c>
      <c r="J140" s="3" t="s">
        <v>355</v>
      </c>
      <c r="K140" s="3" t="s">
        <v>355</v>
      </c>
      <c r="L140" s="3" t="s">
        <v>355</v>
      </c>
      <c r="M140" s="3">
        <f t="shared" si="25"/>
        <v>29</v>
      </c>
      <c r="N140" s="3" t="s">
        <v>709</v>
      </c>
      <c r="O140" s="3"/>
      <c r="P140" s="3">
        <f t="shared" si="22"/>
        <v>0</v>
      </c>
      <c r="Q140" s="3">
        <f t="shared" si="23"/>
        <v>1</v>
      </c>
      <c r="R140" s="4">
        <f t="shared" si="24"/>
        <v>0</v>
      </c>
      <c r="S140" s="4">
        <f t="shared" si="27"/>
        <v>0</v>
      </c>
      <c r="T140" s="4">
        <f t="shared" si="28"/>
        <v>1</v>
      </c>
      <c r="U140" s="4">
        <f t="shared" si="29"/>
        <v>0</v>
      </c>
      <c r="V140" s="4">
        <f t="shared" si="30"/>
        <v>0</v>
      </c>
      <c r="W140" s="4">
        <f t="shared" si="31"/>
        <v>0</v>
      </c>
      <c r="X140" s="4">
        <f t="shared" si="32"/>
        <v>0</v>
      </c>
      <c r="Y140" s="4">
        <f t="shared" si="26"/>
        <v>0</v>
      </c>
    </row>
    <row r="141" spans="1:25" ht="43.5" x14ac:dyDescent="0.35">
      <c r="A141" t="s">
        <v>349</v>
      </c>
      <c r="B141" s="3" t="s">
        <v>350</v>
      </c>
      <c r="C141" t="s">
        <v>351</v>
      </c>
      <c r="D141" t="s">
        <v>356</v>
      </c>
      <c r="E141" t="b">
        <v>0</v>
      </c>
      <c r="F141" t="b">
        <v>1</v>
      </c>
      <c r="G141" t="s">
        <v>51</v>
      </c>
      <c r="H141">
        <v>0.9</v>
      </c>
      <c r="I141">
        <v>0.99999322926835443</v>
      </c>
      <c r="J141" s="3" t="s">
        <v>357</v>
      </c>
      <c r="K141" s="3" t="s">
        <v>357</v>
      </c>
      <c r="L141" s="3" t="s">
        <v>357</v>
      </c>
      <c r="M141" s="3">
        <f t="shared" si="25"/>
        <v>29</v>
      </c>
      <c r="N141" s="3" t="s">
        <v>703</v>
      </c>
      <c r="O141" s="3"/>
      <c r="P141" s="3">
        <f t="shared" si="22"/>
        <v>0</v>
      </c>
      <c r="Q141" s="3">
        <f t="shared" si="23"/>
        <v>1</v>
      </c>
      <c r="R141" s="4">
        <f t="shared" si="24"/>
        <v>0</v>
      </c>
      <c r="S141" s="4">
        <f t="shared" si="27"/>
        <v>1</v>
      </c>
      <c r="T141" s="4">
        <f t="shared" si="28"/>
        <v>0</v>
      </c>
      <c r="U141" s="4">
        <f t="shared" si="29"/>
        <v>0</v>
      </c>
      <c r="V141" s="4">
        <f t="shared" si="30"/>
        <v>0</v>
      </c>
      <c r="W141" s="4">
        <f t="shared" si="31"/>
        <v>0</v>
      </c>
      <c r="X141" s="4">
        <f t="shared" si="32"/>
        <v>0</v>
      </c>
      <c r="Y141" s="4">
        <f t="shared" si="26"/>
        <v>0</v>
      </c>
    </row>
    <row r="142" spans="1:25" ht="43.5" x14ac:dyDescent="0.35">
      <c r="A142" t="s">
        <v>349</v>
      </c>
      <c r="B142" s="3" t="s">
        <v>350</v>
      </c>
      <c r="C142" t="s">
        <v>351</v>
      </c>
      <c r="D142" t="s">
        <v>358</v>
      </c>
      <c r="E142" t="b">
        <v>1</v>
      </c>
      <c r="F142" t="b">
        <v>0</v>
      </c>
      <c r="J142" s="3" t="s">
        <v>359</v>
      </c>
      <c r="M142" s="3">
        <f t="shared" si="25"/>
        <v>29</v>
      </c>
      <c r="N142" s="3" t="s">
        <v>718</v>
      </c>
      <c r="O142" s="3"/>
      <c r="P142" s="3">
        <f t="shared" si="22"/>
        <v>0</v>
      </c>
      <c r="Q142" s="3">
        <f t="shared" si="23"/>
        <v>0</v>
      </c>
      <c r="R142" s="4">
        <f t="shared" si="24"/>
        <v>1</v>
      </c>
      <c r="S142" s="4">
        <f t="shared" si="27"/>
        <v>0</v>
      </c>
      <c r="T142" s="4">
        <f t="shared" si="28"/>
        <v>0</v>
      </c>
      <c r="U142" s="4">
        <f t="shared" si="29"/>
        <v>0</v>
      </c>
      <c r="V142" s="4">
        <f t="shared" si="30"/>
        <v>1</v>
      </c>
      <c r="W142" s="4">
        <f t="shared" si="31"/>
        <v>0</v>
      </c>
      <c r="X142" s="4">
        <f t="shared" si="32"/>
        <v>0</v>
      </c>
      <c r="Y142" s="4">
        <f t="shared" si="26"/>
        <v>0</v>
      </c>
    </row>
    <row r="143" spans="1:25" ht="43.5" x14ac:dyDescent="0.35">
      <c r="A143" t="s">
        <v>349</v>
      </c>
      <c r="B143" s="3" t="s">
        <v>350</v>
      </c>
      <c r="C143" t="s">
        <v>351</v>
      </c>
      <c r="D143" t="s">
        <v>360</v>
      </c>
      <c r="E143" t="b">
        <v>1</v>
      </c>
      <c r="F143" t="b">
        <v>0</v>
      </c>
      <c r="J143" s="3" t="s">
        <v>361</v>
      </c>
      <c r="M143" s="3">
        <f t="shared" si="25"/>
        <v>29</v>
      </c>
      <c r="N143" s="3" t="s">
        <v>718</v>
      </c>
      <c r="O143" s="3"/>
      <c r="P143" s="3">
        <f t="shared" si="22"/>
        <v>0</v>
      </c>
      <c r="Q143" s="3">
        <f t="shared" si="23"/>
        <v>0</v>
      </c>
      <c r="R143" s="4">
        <f t="shared" si="24"/>
        <v>1</v>
      </c>
      <c r="S143" s="4">
        <f t="shared" si="27"/>
        <v>0</v>
      </c>
      <c r="T143" s="4">
        <f t="shared" si="28"/>
        <v>0</v>
      </c>
      <c r="U143" s="4">
        <f t="shared" si="29"/>
        <v>0</v>
      </c>
      <c r="V143" s="4">
        <f t="shared" si="30"/>
        <v>1</v>
      </c>
      <c r="W143" s="4">
        <f t="shared" si="31"/>
        <v>0</v>
      </c>
      <c r="X143" s="4">
        <f t="shared" si="32"/>
        <v>0</v>
      </c>
      <c r="Y143" s="4">
        <f t="shared" si="26"/>
        <v>0</v>
      </c>
    </row>
    <row r="144" spans="1:25" x14ac:dyDescent="0.35">
      <c r="A144" t="s">
        <v>362</v>
      </c>
      <c r="B144" s="3" t="s">
        <v>363</v>
      </c>
      <c r="C144" t="s">
        <v>364</v>
      </c>
      <c r="D144" t="s">
        <v>365</v>
      </c>
      <c r="E144" t="b">
        <v>1</v>
      </c>
      <c r="F144" t="b">
        <v>1</v>
      </c>
      <c r="G144" t="s">
        <v>157</v>
      </c>
      <c r="H144">
        <v>0.9</v>
      </c>
      <c r="I144">
        <v>0.9999890799829928</v>
      </c>
      <c r="J144" s="3" t="s">
        <v>366</v>
      </c>
      <c r="K144" s="3" t="s">
        <v>366</v>
      </c>
      <c r="L144" s="3" t="s">
        <v>366</v>
      </c>
      <c r="M144" s="3">
        <f t="shared" si="25"/>
        <v>30</v>
      </c>
      <c r="N144" s="3" t="s">
        <v>720</v>
      </c>
      <c r="O144" s="3"/>
      <c r="P144" s="3">
        <f t="shared" si="22"/>
        <v>1</v>
      </c>
      <c r="Q144" s="3">
        <f t="shared" si="23"/>
        <v>0</v>
      </c>
      <c r="R144" s="4">
        <f t="shared" si="24"/>
        <v>0</v>
      </c>
      <c r="S144" s="4">
        <f t="shared" si="27"/>
        <v>0</v>
      </c>
      <c r="T144" s="4">
        <f t="shared" si="28"/>
        <v>0</v>
      </c>
      <c r="U144" s="4">
        <f t="shared" si="29"/>
        <v>0</v>
      </c>
      <c r="V144" s="4">
        <f t="shared" si="30"/>
        <v>0</v>
      </c>
      <c r="W144" s="4">
        <f t="shared" si="31"/>
        <v>0</v>
      </c>
      <c r="X144" s="4">
        <f t="shared" si="32"/>
        <v>0</v>
      </c>
      <c r="Y144" s="4">
        <f t="shared" si="26"/>
        <v>0</v>
      </c>
    </row>
    <row r="145" spans="1:25" x14ac:dyDescent="0.35">
      <c r="A145" t="s">
        <v>362</v>
      </c>
      <c r="B145" s="3" t="s">
        <v>363</v>
      </c>
      <c r="C145" t="s">
        <v>364</v>
      </c>
      <c r="D145" t="s">
        <v>367</v>
      </c>
      <c r="E145" t="b">
        <v>1</v>
      </c>
      <c r="F145" t="b">
        <v>1</v>
      </c>
      <c r="G145" t="s">
        <v>157</v>
      </c>
      <c r="H145">
        <v>0.9</v>
      </c>
      <c r="I145">
        <v>0.99999450332443363</v>
      </c>
      <c r="J145" s="3" t="s">
        <v>368</v>
      </c>
      <c r="K145" s="3" t="s">
        <v>368</v>
      </c>
      <c r="L145" s="3" t="s">
        <v>368</v>
      </c>
      <c r="M145" s="3">
        <f t="shared" si="25"/>
        <v>30</v>
      </c>
      <c r="N145" s="3" t="s">
        <v>720</v>
      </c>
      <c r="O145" s="3"/>
      <c r="P145" s="3">
        <f t="shared" si="22"/>
        <v>1</v>
      </c>
      <c r="Q145" s="3">
        <f t="shared" si="23"/>
        <v>0</v>
      </c>
      <c r="R145" s="4">
        <f t="shared" si="24"/>
        <v>0</v>
      </c>
      <c r="S145" s="4">
        <f t="shared" si="27"/>
        <v>0</v>
      </c>
      <c r="T145" s="4">
        <f t="shared" si="28"/>
        <v>0</v>
      </c>
      <c r="U145" s="4">
        <f t="shared" si="29"/>
        <v>0</v>
      </c>
      <c r="V145" s="4">
        <f t="shared" si="30"/>
        <v>0</v>
      </c>
      <c r="W145" s="4">
        <f t="shared" si="31"/>
        <v>0</v>
      </c>
      <c r="X145" s="4">
        <f t="shared" si="32"/>
        <v>0</v>
      </c>
      <c r="Y145" s="4">
        <f t="shared" si="26"/>
        <v>0</v>
      </c>
    </row>
    <row r="146" spans="1:25" ht="29" x14ac:dyDescent="0.35">
      <c r="A146" t="s">
        <v>362</v>
      </c>
      <c r="B146" s="3" t="s">
        <v>363</v>
      </c>
      <c r="C146" t="s">
        <v>364</v>
      </c>
      <c r="D146" t="s">
        <v>369</v>
      </c>
      <c r="E146" t="b">
        <v>0</v>
      </c>
      <c r="F146" t="b">
        <v>1</v>
      </c>
      <c r="G146" t="s">
        <v>124</v>
      </c>
      <c r="H146">
        <v>0.8</v>
      </c>
      <c r="I146">
        <v>0.75911186630366045</v>
      </c>
      <c r="J146" s="3" t="s">
        <v>370</v>
      </c>
      <c r="K146" s="3" t="s">
        <v>371</v>
      </c>
      <c r="L146" s="3" t="s">
        <v>372</v>
      </c>
      <c r="M146" s="3">
        <f t="shared" si="25"/>
        <v>30</v>
      </c>
      <c r="N146" s="3" t="s">
        <v>709</v>
      </c>
      <c r="O146" s="3"/>
      <c r="P146" s="3">
        <f t="shared" si="22"/>
        <v>0</v>
      </c>
      <c r="Q146" s="3">
        <f t="shared" si="23"/>
        <v>1</v>
      </c>
      <c r="R146" s="4">
        <f t="shared" si="24"/>
        <v>0</v>
      </c>
      <c r="S146" s="4">
        <f t="shared" si="27"/>
        <v>0</v>
      </c>
      <c r="T146" s="4">
        <f t="shared" si="28"/>
        <v>1</v>
      </c>
      <c r="U146" s="4">
        <f t="shared" si="29"/>
        <v>0</v>
      </c>
      <c r="V146" s="4">
        <f t="shared" si="30"/>
        <v>0</v>
      </c>
      <c r="W146" s="4">
        <f t="shared" si="31"/>
        <v>0</v>
      </c>
      <c r="X146" s="4">
        <f t="shared" si="32"/>
        <v>0</v>
      </c>
      <c r="Y146" s="4">
        <f t="shared" si="26"/>
        <v>0</v>
      </c>
    </row>
    <row r="147" spans="1:25" x14ac:dyDescent="0.35">
      <c r="A147" t="s">
        <v>362</v>
      </c>
      <c r="B147" s="3" t="s">
        <v>363</v>
      </c>
      <c r="C147" t="s">
        <v>364</v>
      </c>
      <c r="D147" t="s">
        <v>373</v>
      </c>
      <c r="E147" t="b">
        <v>1</v>
      </c>
      <c r="F147" t="b">
        <v>0</v>
      </c>
      <c r="J147" s="3" t="s">
        <v>374</v>
      </c>
      <c r="M147" s="3">
        <f t="shared" si="25"/>
        <v>30</v>
      </c>
      <c r="N147" s="3" t="s">
        <v>718</v>
      </c>
      <c r="O147" s="3"/>
      <c r="P147" s="3">
        <f t="shared" si="22"/>
        <v>0</v>
      </c>
      <c r="Q147" s="3">
        <f t="shared" si="23"/>
        <v>0</v>
      </c>
      <c r="R147" s="4">
        <f t="shared" si="24"/>
        <v>1</v>
      </c>
      <c r="S147" s="4">
        <f t="shared" si="27"/>
        <v>0</v>
      </c>
      <c r="T147" s="4">
        <f t="shared" si="28"/>
        <v>0</v>
      </c>
      <c r="U147" s="4">
        <f t="shared" si="29"/>
        <v>0</v>
      </c>
      <c r="V147" s="4">
        <f t="shared" si="30"/>
        <v>1</v>
      </c>
      <c r="W147" s="4">
        <f t="shared" si="31"/>
        <v>0</v>
      </c>
      <c r="X147" s="4">
        <f t="shared" si="32"/>
        <v>0</v>
      </c>
      <c r="Y147" s="4">
        <f t="shared" si="26"/>
        <v>0</v>
      </c>
    </row>
    <row r="148" spans="1:25" x14ac:dyDescent="0.35">
      <c r="A148" t="s">
        <v>362</v>
      </c>
      <c r="B148" s="3" t="s">
        <v>363</v>
      </c>
      <c r="C148" t="s">
        <v>364</v>
      </c>
      <c r="D148" t="s">
        <v>375</v>
      </c>
      <c r="E148" t="b">
        <v>1</v>
      </c>
      <c r="F148" t="b">
        <v>0</v>
      </c>
      <c r="J148" s="3" t="s">
        <v>376</v>
      </c>
      <c r="M148" s="3">
        <f t="shared" si="25"/>
        <v>30</v>
      </c>
      <c r="N148" s="3" t="s">
        <v>718</v>
      </c>
      <c r="O148" s="3"/>
      <c r="P148" s="3">
        <f t="shared" si="22"/>
        <v>0</v>
      </c>
      <c r="Q148" s="3">
        <f t="shared" si="23"/>
        <v>0</v>
      </c>
      <c r="R148" s="4">
        <f t="shared" si="24"/>
        <v>1</v>
      </c>
      <c r="S148" s="4">
        <f t="shared" si="27"/>
        <v>0</v>
      </c>
      <c r="T148" s="4">
        <f t="shared" si="28"/>
        <v>0</v>
      </c>
      <c r="U148" s="4">
        <f t="shared" si="29"/>
        <v>0</v>
      </c>
      <c r="V148" s="4">
        <f t="shared" si="30"/>
        <v>1</v>
      </c>
      <c r="W148" s="4">
        <f t="shared" si="31"/>
        <v>0</v>
      </c>
      <c r="X148" s="4">
        <f t="shared" si="32"/>
        <v>0</v>
      </c>
      <c r="Y148" s="4">
        <f t="shared" si="26"/>
        <v>0</v>
      </c>
    </row>
    <row r="149" spans="1:25" x14ac:dyDescent="0.35">
      <c r="A149" t="s">
        <v>362</v>
      </c>
      <c r="B149" s="3" t="s">
        <v>363</v>
      </c>
      <c r="C149" t="s">
        <v>364</v>
      </c>
      <c r="D149" t="s">
        <v>377</v>
      </c>
      <c r="E149" t="b">
        <v>1</v>
      </c>
      <c r="F149" t="b">
        <v>0</v>
      </c>
      <c r="J149" s="3" t="s">
        <v>378</v>
      </c>
      <c r="M149" s="3">
        <f t="shared" si="25"/>
        <v>30</v>
      </c>
      <c r="N149" s="3" t="s">
        <v>715</v>
      </c>
      <c r="O149" s="3"/>
      <c r="P149" s="3">
        <f t="shared" si="22"/>
        <v>0</v>
      </c>
      <c r="Q149" s="3">
        <f t="shared" si="23"/>
        <v>0</v>
      </c>
      <c r="R149" s="4">
        <f t="shared" si="24"/>
        <v>1</v>
      </c>
      <c r="S149" s="4">
        <f t="shared" si="27"/>
        <v>0</v>
      </c>
      <c r="T149" s="4">
        <f t="shared" si="28"/>
        <v>0</v>
      </c>
      <c r="U149" s="4">
        <f t="shared" si="29"/>
        <v>0</v>
      </c>
      <c r="V149" s="4">
        <f t="shared" si="30"/>
        <v>0</v>
      </c>
      <c r="W149" s="4">
        <f t="shared" si="31"/>
        <v>1</v>
      </c>
      <c r="X149" s="4">
        <f t="shared" si="32"/>
        <v>0</v>
      </c>
      <c r="Y149" s="4">
        <f t="shared" si="26"/>
        <v>0</v>
      </c>
    </row>
    <row r="150" spans="1:25" x14ac:dyDescent="0.35">
      <c r="A150" t="s">
        <v>379</v>
      </c>
      <c r="B150" s="3" t="s">
        <v>380</v>
      </c>
      <c r="C150" t="s">
        <v>364</v>
      </c>
      <c r="D150" t="s">
        <v>381</v>
      </c>
      <c r="E150" t="b">
        <v>1</v>
      </c>
      <c r="F150" t="b">
        <v>1</v>
      </c>
      <c r="G150" t="s">
        <v>124</v>
      </c>
      <c r="H150">
        <v>1</v>
      </c>
      <c r="I150">
        <v>0.99999199248378656</v>
      </c>
      <c r="J150" s="3" t="s">
        <v>382</v>
      </c>
      <c r="K150" s="3" t="s">
        <v>382</v>
      </c>
      <c r="L150" s="3" t="s">
        <v>382</v>
      </c>
      <c r="M150" s="3">
        <f t="shared" si="25"/>
        <v>31</v>
      </c>
      <c r="N150" s="3" t="s">
        <v>720</v>
      </c>
      <c r="O150" s="3"/>
      <c r="P150" s="3">
        <f t="shared" si="22"/>
        <v>1</v>
      </c>
      <c r="Q150" s="3">
        <f t="shared" si="23"/>
        <v>0</v>
      </c>
      <c r="R150" s="4">
        <f t="shared" si="24"/>
        <v>0</v>
      </c>
      <c r="S150" s="4">
        <f t="shared" si="27"/>
        <v>0</v>
      </c>
      <c r="T150" s="4">
        <f t="shared" si="28"/>
        <v>0</v>
      </c>
      <c r="U150" s="4">
        <f t="shared" si="29"/>
        <v>0</v>
      </c>
      <c r="V150" s="4">
        <f t="shared" si="30"/>
        <v>0</v>
      </c>
      <c r="W150" s="4">
        <f t="shared" si="31"/>
        <v>0</v>
      </c>
      <c r="X150" s="4">
        <f t="shared" si="32"/>
        <v>0</v>
      </c>
      <c r="Y150" s="4">
        <f t="shared" si="26"/>
        <v>0</v>
      </c>
    </row>
    <row r="151" spans="1:25" x14ac:dyDescent="0.35">
      <c r="A151" t="s">
        <v>379</v>
      </c>
      <c r="B151" s="3" t="s">
        <v>380</v>
      </c>
      <c r="C151" t="s">
        <v>364</v>
      </c>
      <c r="D151" t="s">
        <v>383</v>
      </c>
      <c r="E151" t="b">
        <v>0</v>
      </c>
      <c r="F151" t="b">
        <v>1</v>
      </c>
      <c r="G151" t="s">
        <v>51</v>
      </c>
      <c r="H151">
        <v>0.9</v>
      </c>
      <c r="I151">
        <v>0.99999126729686938</v>
      </c>
      <c r="J151" s="3" t="s">
        <v>384</v>
      </c>
      <c r="K151" s="3" t="s">
        <v>384</v>
      </c>
      <c r="L151" s="3" t="s">
        <v>384</v>
      </c>
      <c r="M151" s="3">
        <f t="shared" si="25"/>
        <v>31</v>
      </c>
      <c r="N151" s="3" t="s">
        <v>703</v>
      </c>
      <c r="O151" s="3"/>
      <c r="P151" s="3">
        <f t="shared" si="22"/>
        <v>0</v>
      </c>
      <c r="Q151" s="3">
        <f t="shared" si="23"/>
        <v>1</v>
      </c>
      <c r="R151" s="4">
        <f t="shared" si="24"/>
        <v>0</v>
      </c>
      <c r="S151" s="4">
        <f t="shared" si="27"/>
        <v>1</v>
      </c>
      <c r="T151" s="4">
        <f t="shared" si="28"/>
        <v>0</v>
      </c>
      <c r="U151" s="4">
        <f t="shared" si="29"/>
        <v>0</v>
      </c>
      <c r="V151" s="4">
        <f t="shared" si="30"/>
        <v>0</v>
      </c>
      <c r="W151" s="4">
        <f t="shared" si="31"/>
        <v>0</v>
      </c>
      <c r="X151" s="4">
        <f t="shared" si="32"/>
        <v>0</v>
      </c>
      <c r="Y151" s="4">
        <f t="shared" si="26"/>
        <v>0</v>
      </c>
    </row>
    <row r="152" spans="1:25" x14ac:dyDescent="0.35">
      <c r="A152" t="s">
        <v>379</v>
      </c>
      <c r="B152" s="3" t="s">
        <v>380</v>
      </c>
      <c r="C152" t="s">
        <v>364</v>
      </c>
      <c r="D152" t="s">
        <v>385</v>
      </c>
      <c r="E152" t="b">
        <v>0</v>
      </c>
      <c r="F152" t="b">
        <v>1</v>
      </c>
      <c r="G152" t="s">
        <v>124</v>
      </c>
      <c r="H152">
        <v>0.9</v>
      </c>
      <c r="I152">
        <v>0.99999007688387476</v>
      </c>
      <c r="J152" s="3" t="s">
        <v>386</v>
      </c>
      <c r="K152" s="3" t="s">
        <v>387</v>
      </c>
      <c r="L152" s="3" t="s">
        <v>387</v>
      </c>
      <c r="M152" s="3">
        <f t="shared" si="25"/>
        <v>31</v>
      </c>
      <c r="N152" s="3" t="s">
        <v>709</v>
      </c>
      <c r="O152" s="3"/>
      <c r="P152" s="3">
        <f t="shared" si="22"/>
        <v>0</v>
      </c>
      <c r="Q152" s="3">
        <f t="shared" si="23"/>
        <v>1</v>
      </c>
      <c r="R152" s="4">
        <f t="shared" si="24"/>
        <v>0</v>
      </c>
      <c r="S152" s="4">
        <f t="shared" si="27"/>
        <v>0</v>
      </c>
      <c r="T152" s="4">
        <f t="shared" si="28"/>
        <v>1</v>
      </c>
      <c r="U152" s="4">
        <f t="shared" si="29"/>
        <v>0</v>
      </c>
      <c r="V152" s="4">
        <f t="shared" si="30"/>
        <v>0</v>
      </c>
      <c r="W152" s="4">
        <f t="shared" si="31"/>
        <v>0</v>
      </c>
      <c r="X152" s="4">
        <f t="shared" si="32"/>
        <v>0</v>
      </c>
      <c r="Y152" s="4">
        <f t="shared" si="26"/>
        <v>0</v>
      </c>
    </row>
    <row r="153" spans="1:25" x14ac:dyDescent="0.35">
      <c r="A153" t="s">
        <v>379</v>
      </c>
      <c r="B153" s="3" t="s">
        <v>380</v>
      </c>
      <c r="C153" t="s">
        <v>364</v>
      </c>
      <c r="D153" t="s">
        <v>388</v>
      </c>
      <c r="E153" t="b">
        <v>1</v>
      </c>
      <c r="F153" t="b">
        <v>1</v>
      </c>
      <c r="G153" t="s">
        <v>124</v>
      </c>
      <c r="H153">
        <v>0.9</v>
      </c>
      <c r="I153">
        <v>0.99999147636537322</v>
      </c>
      <c r="J153" s="3" t="s">
        <v>389</v>
      </c>
      <c r="K153" s="3" t="s">
        <v>389</v>
      </c>
      <c r="L153" s="3" t="s">
        <v>389</v>
      </c>
      <c r="M153" s="3">
        <f t="shared" si="25"/>
        <v>31</v>
      </c>
      <c r="N153" s="3" t="s">
        <v>720</v>
      </c>
      <c r="O153" s="3"/>
      <c r="P153" s="3">
        <f t="shared" si="22"/>
        <v>1</v>
      </c>
      <c r="Q153" s="3">
        <f t="shared" si="23"/>
        <v>0</v>
      </c>
      <c r="R153" s="4">
        <f t="shared" si="24"/>
        <v>0</v>
      </c>
      <c r="S153" s="4">
        <f t="shared" si="27"/>
        <v>0</v>
      </c>
      <c r="T153" s="4">
        <f t="shared" si="28"/>
        <v>0</v>
      </c>
      <c r="U153" s="4">
        <f t="shared" si="29"/>
        <v>0</v>
      </c>
      <c r="V153" s="4">
        <f t="shared" si="30"/>
        <v>0</v>
      </c>
      <c r="W153" s="4">
        <f t="shared" si="31"/>
        <v>0</v>
      </c>
      <c r="X153" s="4">
        <f t="shared" si="32"/>
        <v>0</v>
      </c>
      <c r="Y153" s="4">
        <f t="shared" si="26"/>
        <v>0</v>
      </c>
    </row>
    <row r="154" spans="1:25" x14ac:dyDescent="0.35">
      <c r="A154" t="s">
        <v>379</v>
      </c>
      <c r="B154" s="3" t="s">
        <v>380</v>
      </c>
      <c r="C154" t="s">
        <v>364</v>
      </c>
      <c r="D154" t="s">
        <v>390</v>
      </c>
      <c r="E154" t="b">
        <v>1</v>
      </c>
      <c r="F154" t="b">
        <v>0</v>
      </c>
      <c r="J154" s="3" t="s">
        <v>391</v>
      </c>
      <c r="M154" s="3">
        <f t="shared" si="25"/>
        <v>31</v>
      </c>
      <c r="N154" s="3" t="s">
        <v>715</v>
      </c>
      <c r="O154" s="3"/>
      <c r="P154" s="3">
        <f t="shared" si="22"/>
        <v>0</v>
      </c>
      <c r="Q154" s="3">
        <f t="shared" si="23"/>
        <v>0</v>
      </c>
      <c r="R154" s="4">
        <f t="shared" si="24"/>
        <v>1</v>
      </c>
      <c r="S154" s="4">
        <f t="shared" si="27"/>
        <v>0</v>
      </c>
      <c r="T154" s="4">
        <f t="shared" si="28"/>
        <v>0</v>
      </c>
      <c r="U154" s="4">
        <f t="shared" si="29"/>
        <v>0</v>
      </c>
      <c r="V154" s="4">
        <f t="shared" si="30"/>
        <v>0</v>
      </c>
      <c r="W154" s="4">
        <f t="shared" si="31"/>
        <v>1</v>
      </c>
      <c r="X154" s="4">
        <f t="shared" si="32"/>
        <v>0</v>
      </c>
      <c r="Y154" s="4">
        <f t="shared" si="26"/>
        <v>0</v>
      </c>
    </row>
    <row r="155" spans="1:25" x14ac:dyDescent="0.35">
      <c r="A155" t="s">
        <v>379</v>
      </c>
      <c r="B155" s="3" t="s">
        <v>380</v>
      </c>
      <c r="C155" t="s">
        <v>364</v>
      </c>
      <c r="D155" t="s">
        <v>392</v>
      </c>
      <c r="E155" t="b">
        <v>1</v>
      </c>
      <c r="F155" t="b">
        <v>0</v>
      </c>
      <c r="J155" s="3" t="s">
        <v>393</v>
      </c>
      <c r="M155" s="3">
        <f t="shared" si="25"/>
        <v>31</v>
      </c>
      <c r="N155" s="3" t="s">
        <v>718</v>
      </c>
      <c r="O155" s="3"/>
      <c r="P155" s="3">
        <f t="shared" si="22"/>
        <v>0</v>
      </c>
      <c r="Q155" s="3">
        <f t="shared" si="23"/>
        <v>0</v>
      </c>
      <c r="R155" s="4">
        <f t="shared" si="24"/>
        <v>1</v>
      </c>
      <c r="S155" s="4">
        <f t="shared" si="27"/>
        <v>0</v>
      </c>
      <c r="T155" s="4">
        <f t="shared" si="28"/>
        <v>0</v>
      </c>
      <c r="U155" s="4">
        <f t="shared" si="29"/>
        <v>0</v>
      </c>
      <c r="V155" s="4">
        <f t="shared" si="30"/>
        <v>1</v>
      </c>
      <c r="W155" s="4">
        <f t="shared" si="31"/>
        <v>0</v>
      </c>
      <c r="X155" s="4">
        <f t="shared" si="32"/>
        <v>0</v>
      </c>
      <c r="Y155" s="4">
        <f t="shared" si="26"/>
        <v>0</v>
      </c>
    </row>
    <row r="156" spans="1:25" ht="29" x14ac:dyDescent="0.35">
      <c r="A156" t="s">
        <v>379</v>
      </c>
      <c r="B156" s="3" t="s">
        <v>380</v>
      </c>
      <c r="C156" t="s">
        <v>364</v>
      </c>
      <c r="D156" t="s">
        <v>394</v>
      </c>
      <c r="E156" t="b">
        <v>1</v>
      </c>
      <c r="F156" t="b">
        <v>0</v>
      </c>
      <c r="J156" s="3" t="s">
        <v>395</v>
      </c>
      <c r="M156" s="3">
        <f t="shared" si="25"/>
        <v>31</v>
      </c>
      <c r="N156" s="3" t="s">
        <v>718</v>
      </c>
      <c r="O156" s="3"/>
      <c r="P156" s="3">
        <f t="shared" si="22"/>
        <v>0</v>
      </c>
      <c r="Q156" s="3">
        <f t="shared" si="23"/>
        <v>0</v>
      </c>
      <c r="R156" s="4">
        <f t="shared" si="24"/>
        <v>1</v>
      </c>
      <c r="S156" s="4">
        <f t="shared" si="27"/>
        <v>0</v>
      </c>
      <c r="T156" s="4">
        <f t="shared" si="28"/>
        <v>0</v>
      </c>
      <c r="U156" s="4">
        <f t="shared" si="29"/>
        <v>0</v>
      </c>
      <c r="V156" s="4">
        <f t="shared" si="30"/>
        <v>1</v>
      </c>
      <c r="W156" s="4">
        <f t="shared" si="31"/>
        <v>0</v>
      </c>
      <c r="X156" s="4">
        <f t="shared" si="32"/>
        <v>0</v>
      </c>
      <c r="Y156" s="4">
        <f t="shared" si="26"/>
        <v>0</v>
      </c>
    </row>
    <row r="157" spans="1:25" x14ac:dyDescent="0.35">
      <c r="A157" t="s">
        <v>379</v>
      </c>
      <c r="B157" s="3" t="s">
        <v>380</v>
      </c>
      <c r="C157" t="s">
        <v>364</v>
      </c>
      <c r="D157" t="s">
        <v>396</v>
      </c>
      <c r="E157" t="b">
        <v>1</v>
      </c>
      <c r="F157" t="b">
        <v>0</v>
      </c>
      <c r="J157" s="3" t="s">
        <v>397</v>
      </c>
      <c r="M157" s="3">
        <f t="shared" si="25"/>
        <v>31</v>
      </c>
      <c r="N157" s="3" t="s">
        <v>718</v>
      </c>
      <c r="O157" s="3"/>
      <c r="P157" s="3">
        <f t="shared" si="22"/>
        <v>0</v>
      </c>
      <c r="Q157" s="3">
        <f t="shared" si="23"/>
        <v>0</v>
      </c>
      <c r="R157" s="4">
        <f t="shared" si="24"/>
        <v>1</v>
      </c>
      <c r="S157" s="4">
        <f t="shared" si="27"/>
        <v>0</v>
      </c>
      <c r="T157" s="4">
        <f t="shared" si="28"/>
        <v>0</v>
      </c>
      <c r="U157" s="4">
        <f t="shared" si="29"/>
        <v>0</v>
      </c>
      <c r="V157" s="4">
        <f t="shared" si="30"/>
        <v>1</v>
      </c>
      <c r="W157" s="4">
        <f t="shared" si="31"/>
        <v>0</v>
      </c>
      <c r="X157" s="4">
        <f t="shared" si="32"/>
        <v>0</v>
      </c>
      <c r="Y157" s="4">
        <f t="shared" si="26"/>
        <v>0</v>
      </c>
    </row>
    <row r="158" spans="1:25" ht="43.5" x14ac:dyDescent="0.35">
      <c r="A158" t="s">
        <v>398</v>
      </c>
      <c r="B158" s="3" t="s">
        <v>399</v>
      </c>
      <c r="C158" t="s">
        <v>364</v>
      </c>
      <c r="D158" t="s">
        <v>400</v>
      </c>
      <c r="E158" t="b">
        <v>1</v>
      </c>
      <c r="F158" t="b">
        <v>1</v>
      </c>
      <c r="G158" t="s">
        <v>157</v>
      </c>
      <c r="H158">
        <v>1</v>
      </c>
      <c r="I158">
        <v>0.99999204171426437</v>
      </c>
      <c r="J158" s="3" t="s">
        <v>401</v>
      </c>
      <c r="K158" s="3" t="s">
        <v>401</v>
      </c>
      <c r="L158" s="3" t="s">
        <v>401</v>
      </c>
      <c r="M158" s="3">
        <f t="shared" si="25"/>
        <v>32</v>
      </c>
      <c r="N158" s="3" t="s">
        <v>720</v>
      </c>
      <c r="O158" s="3"/>
      <c r="P158" s="3">
        <f t="shared" si="22"/>
        <v>1</v>
      </c>
      <c r="Q158" s="3">
        <f t="shared" si="23"/>
        <v>0</v>
      </c>
      <c r="R158" s="4">
        <f t="shared" si="24"/>
        <v>0</v>
      </c>
      <c r="S158" s="4">
        <f t="shared" si="27"/>
        <v>0</v>
      </c>
      <c r="T158" s="4">
        <f t="shared" si="28"/>
        <v>0</v>
      </c>
      <c r="U158" s="4">
        <f t="shared" si="29"/>
        <v>0</v>
      </c>
      <c r="V158" s="4">
        <f t="shared" si="30"/>
        <v>0</v>
      </c>
      <c r="W158" s="4">
        <f t="shared" si="31"/>
        <v>0</v>
      </c>
      <c r="X158" s="4">
        <f t="shared" si="32"/>
        <v>0</v>
      </c>
      <c r="Y158" s="4">
        <f t="shared" si="26"/>
        <v>0</v>
      </c>
    </row>
    <row r="159" spans="1:25" ht="43.5" x14ac:dyDescent="0.35">
      <c r="A159" t="s">
        <v>398</v>
      </c>
      <c r="B159" s="3" t="s">
        <v>399</v>
      </c>
      <c r="C159" t="s">
        <v>364</v>
      </c>
      <c r="D159" t="s">
        <v>402</v>
      </c>
      <c r="E159" t="b">
        <v>1</v>
      </c>
      <c r="F159" t="b">
        <v>1</v>
      </c>
      <c r="G159" t="s">
        <v>157</v>
      </c>
      <c r="H159">
        <v>0.9</v>
      </c>
      <c r="I159">
        <v>0.87071721164944615</v>
      </c>
      <c r="J159" s="3" t="s">
        <v>403</v>
      </c>
      <c r="K159" s="3" t="s">
        <v>403</v>
      </c>
      <c r="L159" s="3" t="s">
        <v>404</v>
      </c>
      <c r="M159" s="3">
        <f t="shared" si="25"/>
        <v>32</v>
      </c>
      <c r="N159" s="3" t="s">
        <v>720</v>
      </c>
      <c r="O159" s="3"/>
      <c r="P159" s="3">
        <f t="shared" si="22"/>
        <v>1</v>
      </c>
      <c r="Q159" s="3">
        <f t="shared" si="23"/>
        <v>0</v>
      </c>
      <c r="R159" s="4">
        <f t="shared" si="24"/>
        <v>0</v>
      </c>
      <c r="S159" s="4">
        <f t="shared" si="27"/>
        <v>0</v>
      </c>
      <c r="T159" s="4">
        <f t="shared" si="28"/>
        <v>0</v>
      </c>
      <c r="U159" s="4">
        <f t="shared" si="29"/>
        <v>0</v>
      </c>
      <c r="V159" s="4">
        <f t="shared" si="30"/>
        <v>0</v>
      </c>
      <c r="W159" s="4">
        <f t="shared" si="31"/>
        <v>0</v>
      </c>
      <c r="X159" s="4">
        <f t="shared" si="32"/>
        <v>0</v>
      </c>
      <c r="Y159" s="4">
        <f t="shared" si="26"/>
        <v>0</v>
      </c>
    </row>
    <row r="160" spans="1:25" ht="43.5" x14ac:dyDescent="0.35">
      <c r="A160" t="s">
        <v>398</v>
      </c>
      <c r="B160" s="3" t="s">
        <v>399</v>
      </c>
      <c r="C160" t="s">
        <v>364</v>
      </c>
      <c r="D160" t="s">
        <v>405</v>
      </c>
      <c r="E160" t="b">
        <v>1</v>
      </c>
      <c r="F160" t="b">
        <v>1</v>
      </c>
      <c r="G160" t="s">
        <v>157</v>
      </c>
      <c r="H160">
        <v>0.9</v>
      </c>
      <c r="I160">
        <v>0.99999373715838502</v>
      </c>
      <c r="J160" s="3" t="s">
        <v>406</v>
      </c>
      <c r="K160" s="3" t="s">
        <v>406</v>
      </c>
      <c r="L160" s="3" t="s">
        <v>406</v>
      </c>
      <c r="M160" s="3">
        <f t="shared" si="25"/>
        <v>32</v>
      </c>
      <c r="N160" s="3" t="s">
        <v>720</v>
      </c>
      <c r="O160" s="3"/>
      <c r="P160" s="3">
        <f>IF(AND(E160,F160),1,0)</f>
        <v>1</v>
      </c>
      <c r="Q160" s="3">
        <f>IF(AND(NOT(E160),F160),1,0)</f>
        <v>0</v>
      </c>
      <c r="R160" s="4">
        <f>IF(AND(E160,NOT(F160)),1,0)</f>
        <v>0</v>
      </c>
      <c r="S160" s="4">
        <f t="shared" si="27"/>
        <v>0</v>
      </c>
      <c r="T160" s="4">
        <f t="shared" si="28"/>
        <v>0</v>
      </c>
      <c r="U160" s="4">
        <f t="shared" si="29"/>
        <v>0</v>
      </c>
      <c r="V160" s="4">
        <f t="shared" si="30"/>
        <v>0</v>
      </c>
      <c r="W160" s="4">
        <f t="shared" si="31"/>
        <v>0</v>
      </c>
      <c r="X160" s="4">
        <f t="shared" si="32"/>
        <v>0</v>
      </c>
      <c r="Y160" s="4">
        <f t="shared" si="26"/>
        <v>0</v>
      </c>
    </row>
    <row r="161" spans="1:25" ht="43.5" x14ac:dyDescent="0.35">
      <c r="A161" t="s">
        <v>398</v>
      </c>
      <c r="B161" s="3" t="s">
        <v>399</v>
      </c>
      <c r="C161" t="s">
        <v>364</v>
      </c>
      <c r="D161" t="s">
        <v>407</v>
      </c>
      <c r="E161" s="5" t="b">
        <v>0</v>
      </c>
      <c r="F161" s="5" t="b">
        <v>1</v>
      </c>
      <c r="G161" t="s">
        <v>157</v>
      </c>
      <c r="J161" s="3" t="s">
        <v>408</v>
      </c>
      <c r="M161" s="3">
        <f t="shared" si="25"/>
        <v>32</v>
      </c>
      <c r="N161" s="3" t="s">
        <v>704</v>
      </c>
      <c r="O161" s="3"/>
      <c r="P161" s="3">
        <f>IF(AND(E161,F161),1,0)</f>
        <v>0</v>
      </c>
      <c r="Q161" s="3">
        <f>IF(AND(NOT(E161),F161),1,0)</f>
        <v>1</v>
      </c>
      <c r="R161" s="4">
        <f>IF(AND(E161,NOT(F161)),1,0)</f>
        <v>0</v>
      </c>
      <c r="S161" s="4">
        <f t="shared" si="27"/>
        <v>0</v>
      </c>
      <c r="T161" s="4">
        <f t="shared" si="28"/>
        <v>0</v>
      </c>
      <c r="U161" s="4">
        <f t="shared" si="29"/>
        <v>1</v>
      </c>
      <c r="V161" s="4">
        <f t="shared" si="30"/>
        <v>0</v>
      </c>
      <c r="W161" s="4">
        <f t="shared" si="31"/>
        <v>0</v>
      </c>
      <c r="X161" s="4">
        <f t="shared" si="32"/>
        <v>0</v>
      </c>
      <c r="Y161" s="4">
        <f t="shared" si="26"/>
        <v>0</v>
      </c>
    </row>
    <row r="162" spans="1:25" ht="43.5" x14ac:dyDescent="0.35">
      <c r="A162" t="s">
        <v>398</v>
      </c>
      <c r="B162" s="3" t="s">
        <v>399</v>
      </c>
      <c r="C162" t="s">
        <v>364</v>
      </c>
      <c r="D162" t="s">
        <v>409</v>
      </c>
      <c r="E162" t="b">
        <v>0</v>
      </c>
      <c r="F162" t="b">
        <v>1</v>
      </c>
      <c r="G162" t="s">
        <v>51</v>
      </c>
      <c r="H162">
        <v>0.9</v>
      </c>
      <c r="I162">
        <v>0.99999316385539161</v>
      </c>
      <c r="J162" s="3" t="s">
        <v>410</v>
      </c>
      <c r="K162" s="3" t="s">
        <v>411</v>
      </c>
      <c r="L162" s="3" t="s">
        <v>411</v>
      </c>
      <c r="M162" s="3">
        <f t="shared" si="25"/>
        <v>32</v>
      </c>
      <c r="N162" s="3" t="s">
        <v>703</v>
      </c>
      <c r="O162" s="3"/>
      <c r="P162" s="3">
        <f t="shared" si="22"/>
        <v>0</v>
      </c>
      <c r="Q162" s="3">
        <f t="shared" si="23"/>
        <v>1</v>
      </c>
      <c r="R162" s="4">
        <f t="shared" si="24"/>
        <v>0</v>
      </c>
      <c r="S162" s="4">
        <f t="shared" si="27"/>
        <v>1</v>
      </c>
      <c r="T162" s="4">
        <f t="shared" si="28"/>
        <v>0</v>
      </c>
      <c r="U162" s="4">
        <f t="shared" si="29"/>
        <v>0</v>
      </c>
      <c r="V162" s="4">
        <f t="shared" si="30"/>
        <v>0</v>
      </c>
      <c r="W162" s="4">
        <f t="shared" si="31"/>
        <v>0</v>
      </c>
      <c r="X162" s="4">
        <f t="shared" si="32"/>
        <v>0</v>
      </c>
      <c r="Y162" s="4">
        <f t="shared" si="26"/>
        <v>0</v>
      </c>
    </row>
    <row r="163" spans="1:25" ht="43.5" x14ac:dyDescent="0.35">
      <c r="A163" t="s">
        <v>398</v>
      </c>
      <c r="B163" s="3" t="s">
        <v>399</v>
      </c>
      <c r="C163" t="s">
        <v>364</v>
      </c>
      <c r="D163" t="s">
        <v>412</v>
      </c>
      <c r="E163" t="b">
        <v>1</v>
      </c>
      <c r="F163" t="b">
        <v>0</v>
      </c>
      <c r="J163" s="3" t="s">
        <v>413</v>
      </c>
      <c r="M163" s="3">
        <f t="shared" si="25"/>
        <v>32</v>
      </c>
      <c r="N163" s="3" t="s">
        <v>715</v>
      </c>
      <c r="O163" s="3"/>
      <c r="P163" s="3">
        <f t="shared" si="22"/>
        <v>0</v>
      </c>
      <c r="Q163" s="3">
        <f t="shared" si="23"/>
        <v>0</v>
      </c>
      <c r="R163" s="4">
        <f t="shared" si="24"/>
        <v>1</v>
      </c>
      <c r="S163" s="4">
        <f t="shared" si="27"/>
        <v>0</v>
      </c>
      <c r="T163" s="4">
        <f t="shared" si="28"/>
        <v>0</v>
      </c>
      <c r="U163" s="4">
        <f t="shared" si="29"/>
        <v>0</v>
      </c>
      <c r="V163" s="4">
        <f t="shared" si="30"/>
        <v>0</v>
      </c>
      <c r="W163" s="4">
        <f t="shared" si="31"/>
        <v>1</v>
      </c>
      <c r="X163" s="4">
        <f t="shared" si="32"/>
        <v>0</v>
      </c>
      <c r="Y163" s="4">
        <f t="shared" si="26"/>
        <v>0</v>
      </c>
    </row>
    <row r="164" spans="1:25" ht="43.5" x14ac:dyDescent="0.35">
      <c r="A164" t="s">
        <v>398</v>
      </c>
      <c r="B164" s="3" t="s">
        <v>399</v>
      </c>
      <c r="C164" t="s">
        <v>364</v>
      </c>
      <c r="D164" t="s">
        <v>414</v>
      </c>
      <c r="E164" t="b">
        <v>1</v>
      </c>
      <c r="F164" t="b">
        <v>0</v>
      </c>
      <c r="J164" s="3" t="s">
        <v>415</v>
      </c>
      <c r="M164" s="3">
        <f t="shared" si="25"/>
        <v>32</v>
      </c>
      <c r="N164" s="3" t="s">
        <v>718</v>
      </c>
      <c r="O164" s="3"/>
      <c r="P164" s="3">
        <f t="shared" si="22"/>
        <v>0</v>
      </c>
      <c r="Q164" s="3">
        <f t="shared" si="23"/>
        <v>0</v>
      </c>
      <c r="R164" s="4">
        <f t="shared" si="24"/>
        <v>1</v>
      </c>
      <c r="S164" s="4">
        <f t="shared" si="27"/>
        <v>0</v>
      </c>
      <c r="T164" s="4">
        <f t="shared" si="28"/>
        <v>0</v>
      </c>
      <c r="U164" s="4">
        <f t="shared" si="29"/>
        <v>0</v>
      </c>
      <c r="V164" s="4">
        <f t="shared" si="30"/>
        <v>1</v>
      </c>
      <c r="W164" s="4">
        <f t="shared" si="31"/>
        <v>0</v>
      </c>
      <c r="X164" s="4">
        <f t="shared" si="32"/>
        <v>0</v>
      </c>
      <c r="Y164" s="4">
        <f t="shared" si="26"/>
        <v>0</v>
      </c>
    </row>
    <row r="165" spans="1:25" ht="43.5" x14ac:dyDescent="0.35">
      <c r="A165" t="s">
        <v>398</v>
      </c>
      <c r="B165" s="3" t="s">
        <v>399</v>
      </c>
      <c r="C165" t="s">
        <v>364</v>
      </c>
      <c r="D165" t="s">
        <v>416</v>
      </c>
      <c r="E165" t="b">
        <v>1</v>
      </c>
      <c r="F165" t="b">
        <v>0</v>
      </c>
      <c r="J165" s="3" t="s">
        <v>417</v>
      </c>
      <c r="M165" s="3">
        <f t="shared" si="25"/>
        <v>32</v>
      </c>
      <c r="N165" s="3" t="s">
        <v>718</v>
      </c>
      <c r="O165" s="3"/>
      <c r="P165" s="3">
        <f t="shared" si="22"/>
        <v>0</v>
      </c>
      <c r="Q165" s="3">
        <f t="shared" si="23"/>
        <v>0</v>
      </c>
      <c r="R165" s="4">
        <f t="shared" si="24"/>
        <v>1</v>
      </c>
      <c r="S165" s="4">
        <f t="shared" si="27"/>
        <v>0</v>
      </c>
      <c r="T165" s="4">
        <f t="shared" si="28"/>
        <v>0</v>
      </c>
      <c r="U165" s="4">
        <f t="shared" si="29"/>
        <v>0</v>
      </c>
      <c r="V165" s="4">
        <f t="shared" si="30"/>
        <v>1</v>
      </c>
      <c r="W165" s="4">
        <f t="shared" si="31"/>
        <v>0</v>
      </c>
      <c r="X165" s="4">
        <f t="shared" si="32"/>
        <v>0</v>
      </c>
      <c r="Y165" s="4">
        <f t="shared" si="26"/>
        <v>0</v>
      </c>
    </row>
    <row r="166" spans="1:25" ht="43.5" x14ac:dyDescent="0.35">
      <c r="A166" t="s">
        <v>398</v>
      </c>
      <c r="B166" s="3" t="s">
        <v>399</v>
      </c>
      <c r="C166" t="s">
        <v>364</v>
      </c>
      <c r="D166" t="s">
        <v>418</v>
      </c>
      <c r="E166" t="b">
        <v>1</v>
      </c>
      <c r="F166" t="b">
        <v>0</v>
      </c>
      <c r="J166" s="3" t="s">
        <v>419</v>
      </c>
      <c r="M166" s="3">
        <f t="shared" si="25"/>
        <v>32</v>
      </c>
      <c r="N166" s="3" t="s">
        <v>715</v>
      </c>
      <c r="O166" s="3"/>
      <c r="P166" s="3">
        <f t="shared" si="22"/>
        <v>0</v>
      </c>
      <c r="Q166" s="3">
        <f t="shared" si="23"/>
        <v>0</v>
      </c>
      <c r="R166" s="4">
        <f t="shared" si="24"/>
        <v>1</v>
      </c>
      <c r="S166" s="4">
        <f t="shared" si="27"/>
        <v>0</v>
      </c>
      <c r="T166" s="4">
        <f t="shared" si="28"/>
        <v>0</v>
      </c>
      <c r="U166" s="4">
        <f t="shared" si="29"/>
        <v>0</v>
      </c>
      <c r="V166" s="4">
        <f t="shared" si="30"/>
        <v>0</v>
      </c>
      <c r="W166" s="4">
        <f t="shared" si="31"/>
        <v>1</v>
      </c>
      <c r="X166" s="4">
        <f t="shared" si="32"/>
        <v>0</v>
      </c>
      <c r="Y166" s="4">
        <f t="shared" si="26"/>
        <v>0</v>
      </c>
    </row>
    <row r="167" spans="1:25" ht="29" x14ac:dyDescent="0.35">
      <c r="A167" t="s">
        <v>420</v>
      </c>
      <c r="B167" s="3" t="s">
        <v>421</v>
      </c>
      <c r="C167" t="s">
        <v>364</v>
      </c>
      <c r="D167" t="s">
        <v>422</v>
      </c>
      <c r="E167" t="b">
        <v>0</v>
      </c>
      <c r="F167" t="b">
        <v>1</v>
      </c>
      <c r="G167" t="s">
        <v>124</v>
      </c>
      <c r="H167">
        <v>0.9</v>
      </c>
      <c r="I167">
        <v>0.99998992057106084</v>
      </c>
      <c r="J167" s="3" t="s">
        <v>423</v>
      </c>
      <c r="K167" s="3" t="s">
        <v>423</v>
      </c>
      <c r="L167" s="3" t="s">
        <v>423</v>
      </c>
      <c r="M167" s="3">
        <f t="shared" si="25"/>
        <v>33</v>
      </c>
      <c r="N167" s="3" t="s">
        <v>709</v>
      </c>
      <c r="O167" s="3"/>
      <c r="P167" s="3">
        <f t="shared" si="22"/>
        <v>0</v>
      </c>
      <c r="Q167" s="3">
        <f t="shared" si="23"/>
        <v>1</v>
      </c>
      <c r="R167" s="4">
        <f t="shared" si="24"/>
        <v>0</v>
      </c>
      <c r="S167" s="4">
        <f t="shared" si="27"/>
        <v>0</v>
      </c>
      <c r="T167" s="4">
        <f t="shared" si="28"/>
        <v>1</v>
      </c>
      <c r="U167" s="4">
        <f t="shared" si="29"/>
        <v>0</v>
      </c>
      <c r="V167" s="4">
        <f t="shared" si="30"/>
        <v>0</v>
      </c>
      <c r="W167" s="4">
        <f t="shared" si="31"/>
        <v>0</v>
      </c>
      <c r="X167" s="4">
        <f t="shared" si="32"/>
        <v>0</v>
      </c>
      <c r="Y167" s="4">
        <f t="shared" si="26"/>
        <v>0</v>
      </c>
    </row>
    <row r="168" spans="1:25" ht="29" x14ac:dyDescent="0.35">
      <c r="A168" t="s">
        <v>420</v>
      </c>
      <c r="B168" s="3" t="s">
        <v>421</v>
      </c>
      <c r="C168" t="s">
        <v>364</v>
      </c>
      <c r="D168" t="s">
        <v>424</v>
      </c>
      <c r="E168" t="b">
        <v>0</v>
      </c>
      <c r="F168" t="b">
        <v>1</v>
      </c>
      <c r="G168" t="s">
        <v>157</v>
      </c>
      <c r="H168">
        <v>0.9</v>
      </c>
      <c r="I168">
        <v>0.99999230906760361</v>
      </c>
      <c r="J168" s="3" t="s">
        <v>425</v>
      </c>
      <c r="K168" s="3" t="s">
        <v>425</v>
      </c>
      <c r="L168" s="3" t="s">
        <v>425</v>
      </c>
      <c r="M168" s="3">
        <f t="shared" si="25"/>
        <v>33</v>
      </c>
      <c r="N168" s="3" t="s">
        <v>704</v>
      </c>
      <c r="O168" s="3"/>
      <c r="P168" s="3">
        <f t="shared" si="22"/>
        <v>0</v>
      </c>
      <c r="Q168" s="3">
        <f t="shared" si="23"/>
        <v>1</v>
      </c>
      <c r="R168" s="4">
        <f t="shared" si="24"/>
        <v>0</v>
      </c>
      <c r="S168" s="4">
        <f t="shared" si="27"/>
        <v>0</v>
      </c>
      <c r="T168" s="4">
        <f t="shared" si="28"/>
        <v>0</v>
      </c>
      <c r="U168" s="4">
        <f t="shared" si="29"/>
        <v>1</v>
      </c>
      <c r="V168" s="4">
        <f t="shared" si="30"/>
        <v>0</v>
      </c>
      <c r="W168" s="4">
        <f t="shared" si="31"/>
        <v>0</v>
      </c>
      <c r="X168" s="4">
        <f t="shared" si="32"/>
        <v>0</v>
      </c>
      <c r="Y168" s="4">
        <f t="shared" si="26"/>
        <v>0</v>
      </c>
    </row>
    <row r="169" spans="1:25" ht="29" x14ac:dyDescent="0.35">
      <c r="A169" t="s">
        <v>420</v>
      </c>
      <c r="B169" s="3" t="s">
        <v>421</v>
      </c>
      <c r="C169" t="s">
        <v>364</v>
      </c>
      <c r="D169" t="s">
        <v>426</v>
      </c>
      <c r="E169" t="b">
        <v>0</v>
      </c>
      <c r="F169" t="b">
        <v>1</v>
      </c>
      <c r="G169" t="s">
        <v>157</v>
      </c>
      <c r="H169">
        <v>0.9</v>
      </c>
      <c r="I169">
        <v>0.99998867778315936</v>
      </c>
      <c r="J169" s="3" t="s">
        <v>427</v>
      </c>
      <c r="K169" s="3" t="s">
        <v>427</v>
      </c>
      <c r="L169" s="3" t="s">
        <v>427</v>
      </c>
      <c r="M169" s="3">
        <f t="shared" si="25"/>
        <v>33</v>
      </c>
      <c r="N169" s="3" t="s">
        <v>704</v>
      </c>
      <c r="O169" s="3"/>
      <c r="P169" s="3">
        <f t="shared" si="22"/>
        <v>0</v>
      </c>
      <c r="Q169" s="3">
        <f t="shared" si="23"/>
        <v>1</v>
      </c>
      <c r="R169" s="4">
        <f t="shared" si="24"/>
        <v>0</v>
      </c>
      <c r="S169" s="4">
        <f t="shared" si="27"/>
        <v>0</v>
      </c>
      <c r="T169" s="4">
        <f t="shared" si="28"/>
        <v>0</v>
      </c>
      <c r="U169" s="4">
        <f t="shared" si="29"/>
        <v>1</v>
      </c>
      <c r="V169" s="4">
        <f t="shared" si="30"/>
        <v>0</v>
      </c>
      <c r="W169" s="4">
        <f t="shared" si="31"/>
        <v>0</v>
      </c>
      <c r="X169" s="4">
        <f t="shared" si="32"/>
        <v>0</v>
      </c>
      <c r="Y169" s="4">
        <f t="shared" si="26"/>
        <v>0</v>
      </c>
    </row>
    <row r="170" spans="1:25" ht="29" x14ac:dyDescent="0.35">
      <c r="A170" t="s">
        <v>420</v>
      </c>
      <c r="B170" s="3" t="s">
        <v>421</v>
      </c>
      <c r="C170" t="s">
        <v>364</v>
      </c>
      <c r="D170" t="s">
        <v>428</v>
      </c>
      <c r="E170" t="b">
        <v>1</v>
      </c>
      <c r="F170" t="b">
        <v>1</v>
      </c>
      <c r="G170" t="s">
        <v>157</v>
      </c>
      <c r="H170">
        <v>0.9</v>
      </c>
      <c r="I170">
        <v>0.99998928815548083</v>
      </c>
      <c r="J170" s="3" t="s">
        <v>429</v>
      </c>
      <c r="K170" s="3" t="s">
        <v>429</v>
      </c>
      <c r="L170" s="3" t="s">
        <v>429</v>
      </c>
      <c r="M170" s="3">
        <f t="shared" si="25"/>
        <v>33</v>
      </c>
      <c r="N170" s="3" t="s">
        <v>720</v>
      </c>
      <c r="O170" s="3"/>
      <c r="P170" s="3">
        <f t="shared" si="22"/>
        <v>1</v>
      </c>
      <c r="Q170" s="3">
        <f t="shared" si="23"/>
        <v>0</v>
      </c>
      <c r="R170" s="4">
        <f t="shared" si="24"/>
        <v>0</v>
      </c>
      <c r="S170" s="4">
        <f t="shared" si="27"/>
        <v>0</v>
      </c>
      <c r="T170" s="4">
        <f t="shared" si="28"/>
        <v>0</v>
      </c>
      <c r="U170" s="4">
        <f t="shared" si="29"/>
        <v>0</v>
      </c>
      <c r="V170" s="4">
        <f t="shared" si="30"/>
        <v>0</v>
      </c>
      <c r="W170" s="4">
        <f t="shared" si="31"/>
        <v>0</v>
      </c>
      <c r="X170" s="4">
        <f t="shared" si="32"/>
        <v>0</v>
      </c>
      <c r="Y170" s="4">
        <f t="shared" si="26"/>
        <v>0</v>
      </c>
    </row>
    <row r="171" spans="1:25" ht="29" x14ac:dyDescent="0.35">
      <c r="A171" t="s">
        <v>420</v>
      </c>
      <c r="B171" s="3" t="s">
        <v>421</v>
      </c>
      <c r="C171" t="s">
        <v>364</v>
      </c>
      <c r="D171" t="s">
        <v>430</v>
      </c>
      <c r="E171" t="b">
        <v>0</v>
      </c>
      <c r="F171" t="b">
        <v>1</v>
      </c>
      <c r="G171" t="s">
        <v>51</v>
      </c>
      <c r="H171">
        <v>0.8</v>
      </c>
      <c r="I171">
        <v>0.99998818236335762</v>
      </c>
      <c r="J171" s="3" t="s">
        <v>431</v>
      </c>
      <c r="K171" s="3" t="s">
        <v>431</v>
      </c>
      <c r="L171" s="3" t="s">
        <v>431</v>
      </c>
      <c r="M171" s="3">
        <f t="shared" si="25"/>
        <v>33</v>
      </c>
      <c r="N171" s="3" t="s">
        <v>703</v>
      </c>
      <c r="O171" s="3"/>
      <c r="P171" s="3">
        <f t="shared" si="22"/>
        <v>0</v>
      </c>
      <c r="Q171" s="3">
        <f t="shared" si="23"/>
        <v>1</v>
      </c>
      <c r="R171" s="4">
        <f t="shared" si="24"/>
        <v>0</v>
      </c>
      <c r="S171" s="4">
        <f t="shared" si="27"/>
        <v>1</v>
      </c>
      <c r="T171" s="4">
        <f t="shared" si="28"/>
        <v>0</v>
      </c>
      <c r="U171" s="4">
        <f t="shared" si="29"/>
        <v>0</v>
      </c>
      <c r="V171" s="4">
        <f t="shared" si="30"/>
        <v>0</v>
      </c>
      <c r="W171" s="4">
        <f t="shared" si="31"/>
        <v>0</v>
      </c>
      <c r="X171" s="4">
        <f t="shared" si="32"/>
        <v>0</v>
      </c>
      <c r="Y171" s="4">
        <f t="shared" si="26"/>
        <v>0</v>
      </c>
    </row>
    <row r="172" spans="1:25" ht="29" x14ac:dyDescent="0.35">
      <c r="A172" t="s">
        <v>420</v>
      </c>
      <c r="B172" s="3" t="s">
        <v>421</v>
      </c>
      <c r="C172" t="s">
        <v>364</v>
      </c>
      <c r="D172" t="s">
        <v>432</v>
      </c>
      <c r="E172" t="b">
        <v>1</v>
      </c>
      <c r="F172" t="b">
        <v>0</v>
      </c>
      <c r="J172" s="3" t="s">
        <v>433</v>
      </c>
      <c r="M172" s="3">
        <f t="shared" si="25"/>
        <v>33</v>
      </c>
      <c r="N172" s="3" t="s">
        <v>718</v>
      </c>
      <c r="O172" s="3"/>
      <c r="P172" s="3">
        <f t="shared" ref="P172:P230" si="33">IF(AND(E172,F172),1,0)</f>
        <v>0</v>
      </c>
      <c r="Q172" s="3">
        <f t="shared" ref="Q172:Q230" si="34">IF(AND(NOT(E172),F172),1,0)</f>
        <v>0</v>
      </c>
      <c r="R172" s="4">
        <f t="shared" ref="R172:R230" si="35">IF(AND(E172,NOT(F172)),1,0)</f>
        <v>1</v>
      </c>
      <c r="S172" s="4">
        <f t="shared" si="27"/>
        <v>0</v>
      </c>
      <c r="T172" s="4">
        <f t="shared" si="28"/>
        <v>0</v>
      </c>
      <c r="U172" s="4">
        <f t="shared" si="29"/>
        <v>0</v>
      </c>
      <c r="V172" s="4">
        <f t="shared" si="30"/>
        <v>1</v>
      </c>
      <c r="W172" s="4">
        <f t="shared" si="31"/>
        <v>0</v>
      </c>
      <c r="X172" s="4">
        <f t="shared" si="32"/>
        <v>0</v>
      </c>
      <c r="Y172" s="4">
        <f t="shared" si="26"/>
        <v>0</v>
      </c>
    </row>
    <row r="173" spans="1:25" ht="29" x14ac:dyDescent="0.35">
      <c r="A173" t="s">
        <v>420</v>
      </c>
      <c r="B173" s="3" t="s">
        <v>421</v>
      </c>
      <c r="C173" t="s">
        <v>364</v>
      </c>
      <c r="D173" t="s">
        <v>434</v>
      </c>
      <c r="E173" t="b">
        <v>1</v>
      </c>
      <c r="F173" t="b">
        <v>0</v>
      </c>
      <c r="J173" s="3" t="s">
        <v>435</v>
      </c>
      <c r="M173" s="3">
        <f t="shared" si="25"/>
        <v>33</v>
      </c>
      <c r="N173" s="3" t="s">
        <v>715</v>
      </c>
      <c r="O173" s="3"/>
      <c r="P173" s="3">
        <f t="shared" si="33"/>
        <v>0</v>
      </c>
      <c r="Q173" s="3">
        <f t="shared" si="34"/>
        <v>0</v>
      </c>
      <c r="R173" s="4">
        <f t="shared" si="35"/>
        <v>1</v>
      </c>
      <c r="S173" s="4">
        <f t="shared" si="27"/>
        <v>0</v>
      </c>
      <c r="T173" s="4">
        <f t="shared" si="28"/>
        <v>0</v>
      </c>
      <c r="U173" s="4">
        <f t="shared" si="29"/>
        <v>0</v>
      </c>
      <c r="V173" s="4">
        <f t="shared" si="30"/>
        <v>0</v>
      </c>
      <c r="W173" s="4">
        <f t="shared" si="31"/>
        <v>1</v>
      </c>
      <c r="X173" s="4">
        <f t="shared" si="32"/>
        <v>0</v>
      </c>
      <c r="Y173" s="4">
        <f t="shared" si="26"/>
        <v>0</v>
      </c>
    </row>
    <row r="174" spans="1:25" ht="29" x14ac:dyDescent="0.35">
      <c r="A174" t="s">
        <v>420</v>
      </c>
      <c r="B174" s="3" t="s">
        <v>421</v>
      </c>
      <c r="C174" t="s">
        <v>364</v>
      </c>
      <c r="D174" t="s">
        <v>436</v>
      </c>
      <c r="E174" t="b">
        <v>1</v>
      </c>
      <c r="F174" t="b">
        <v>0</v>
      </c>
      <c r="J174" s="3" t="s">
        <v>437</v>
      </c>
      <c r="M174" s="3">
        <f t="shared" si="25"/>
        <v>33</v>
      </c>
      <c r="N174" s="3" t="s">
        <v>715</v>
      </c>
      <c r="O174" s="3"/>
      <c r="P174" s="3">
        <f t="shared" si="33"/>
        <v>0</v>
      </c>
      <c r="Q174" s="3">
        <f t="shared" si="34"/>
        <v>0</v>
      </c>
      <c r="R174" s="4">
        <f t="shared" si="35"/>
        <v>1</v>
      </c>
      <c r="S174" s="4">
        <f t="shared" si="27"/>
        <v>0</v>
      </c>
      <c r="T174" s="4">
        <f t="shared" si="28"/>
        <v>0</v>
      </c>
      <c r="U174" s="4">
        <f t="shared" si="29"/>
        <v>0</v>
      </c>
      <c r="V174" s="4">
        <f t="shared" si="30"/>
        <v>0</v>
      </c>
      <c r="W174" s="4">
        <f t="shared" si="31"/>
        <v>1</v>
      </c>
      <c r="X174" s="4">
        <f t="shared" si="32"/>
        <v>0</v>
      </c>
      <c r="Y174" s="4">
        <f t="shared" si="26"/>
        <v>0</v>
      </c>
    </row>
    <row r="175" spans="1:25" ht="29" x14ac:dyDescent="0.35">
      <c r="A175" t="s">
        <v>420</v>
      </c>
      <c r="B175" s="3" t="s">
        <v>421</v>
      </c>
      <c r="C175" t="s">
        <v>364</v>
      </c>
      <c r="D175" t="s">
        <v>438</v>
      </c>
      <c r="E175" t="b">
        <v>1</v>
      </c>
      <c r="F175" t="b">
        <v>0</v>
      </c>
      <c r="J175" s="3" t="s">
        <v>439</v>
      </c>
      <c r="M175" s="3">
        <f t="shared" si="25"/>
        <v>33</v>
      </c>
      <c r="N175" s="3" t="s">
        <v>718</v>
      </c>
      <c r="O175" s="3"/>
      <c r="P175" s="3">
        <f t="shared" si="33"/>
        <v>0</v>
      </c>
      <c r="Q175" s="3">
        <f t="shared" si="34"/>
        <v>0</v>
      </c>
      <c r="R175" s="4">
        <f t="shared" si="35"/>
        <v>1</v>
      </c>
      <c r="S175" s="4">
        <f t="shared" si="27"/>
        <v>0</v>
      </c>
      <c r="T175" s="4">
        <f t="shared" si="28"/>
        <v>0</v>
      </c>
      <c r="U175" s="4">
        <f t="shared" si="29"/>
        <v>0</v>
      </c>
      <c r="V175" s="4">
        <f t="shared" si="30"/>
        <v>1</v>
      </c>
      <c r="W175" s="4">
        <f t="shared" si="31"/>
        <v>0</v>
      </c>
      <c r="X175" s="4">
        <f t="shared" si="32"/>
        <v>0</v>
      </c>
      <c r="Y175" s="4">
        <f t="shared" si="26"/>
        <v>0</v>
      </c>
    </row>
    <row r="176" spans="1:25" ht="29" x14ac:dyDescent="0.35">
      <c r="A176" t="s">
        <v>440</v>
      </c>
      <c r="B176" s="3" t="s">
        <v>441</v>
      </c>
      <c r="C176" t="s">
        <v>364</v>
      </c>
      <c r="D176" t="s">
        <v>442</v>
      </c>
      <c r="E176" t="b">
        <v>1</v>
      </c>
      <c r="F176" t="b">
        <v>1</v>
      </c>
      <c r="G176" t="s">
        <v>157</v>
      </c>
      <c r="H176">
        <v>1</v>
      </c>
      <c r="I176">
        <v>0.99999354113517003</v>
      </c>
      <c r="J176" s="3" t="s">
        <v>443</v>
      </c>
      <c r="K176" s="3" t="s">
        <v>443</v>
      </c>
      <c r="L176" s="3" t="s">
        <v>443</v>
      </c>
      <c r="M176" s="3">
        <f t="shared" si="25"/>
        <v>34</v>
      </c>
      <c r="N176" s="3" t="s">
        <v>720</v>
      </c>
      <c r="O176" s="3"/>
      <c r="P176" s="3">
        <f t="shared" si="33"/>
        <v>1</v>
      </c>
      <c r="Q176" s="3">
        <f t="shared" si="34"/>
        <v>0</v>
      </c>
      <c r="R176" s="4">
        <f t="shared" si="35"/>
        <v>0</v>
      </c>
      <c r="S176" s="4">
        <f t="shared" si="27"/>
        <v>0</v>
      </c>
      <c r="T176" s="4">
        <f t="shared" si="28"/>
        <v>0</v>
      </c>
      <c r="U176" s="4">
        <f t="shared" si="29"/>
        <v>0</v>
      </c>
      <c r="V176" s="4">
        <f t="shared" si="30"/>
        <v>0</v>
      </c>
      <c r="W176" s="4">
        <f t="shared" si="31"/>
        <v>0</v>
      </c>
      <c r="X176" s="4">
        <f t="shared" si="32"/>
        <v>0</v>
      </c>
      <c r="Y176" s="4">
        <f t="shared" si="26"/>
        <v>0</v>
      </c>
    </row>
    <row r="177" spans="1:25" ht="29" x14ac:dyDescent="0.35">
      <c r="A177" t="s">
        <v>440</v>
      </c>
      <c r="B177" s="3" t="s">
        <v>441</v>
      </c>
      <c r="C177" t="s">
        <v>364</v>
      </c>
      <c r="D177" t="s">
        <v>444</v>
      </c>
      <c r="E177" t="b">
        <v>0</v>
      </c>
      <c r="F177" t="b">
        <v>1</v>
      </c>
      <c r="G177" t="s">
        <v>157</v>
      </c>
      <c r="H177">
        <v>0.9</v>
      </c>
      <c r="I177">
        <v>0.99999041075267381</v>
      </c>
      <c r="J177" s="3" t="s">
        <v>445</v>
      </c>
      <c r="K177" s="3" t="s">
        <v>446</v>
      </c>
      <c r="L177" s="3" t="s">
        <v>446</v>
      </c>
      <c r="M177" s="3">
        <f t="shared" si="25"/>
        <v>34</v>
      </c>
      <c r="N177" s="3" t="s">
        <v>704</v>
      </c>
      <c r="O177" s="3"/>
      <c r="P177" s="3">
        <f t="shared" si="33"/>
        <v>0</v>
      </c>
      <c r="Q177" s="3">
        <f t="shared" si="34"/>
        <v>1</v>
      </c>
      <c r="R177" s="4">
        <f t="shared" si="35"/>
        <v>0</v>
      </c>
      <c r="S177" s="4">
        <f t="shared" si="27"/>
        <v>0</v>
      </c>
      <c r="T177" s="4">
        <f t="shared" si="28"/>
        <v>0</v>
      </c>
      <c r="U177" s="4">
        <f t="shared" si="29"/>
        <v>1</v>
      </c>
      <c r="V177" s="4">
        <f t="shared" si="30"/>
        <v>0</v>
      </c>
      <c r="W177" s="4">
        <f t="shared" si="31"/>
        <v>0</v>
      </c>
      <c r="X177" s="4">
        <f t="shared" si="32"/>
        <v>0</v>
      </c>
      <c r="Y177" s="4">
        <f t="shared" si="26"/>
        <v>0</v>
      </c>
    </row>
    <row r="178" spans="1:25" ht="29" x14ac:dyDescent="0.35">
      <c r="A178" t="s">
        <v>440</v>
      </c>
      <c r="B178" s="3" t="s">
        <v>441</v>
      </c>
      <c r="C178" t="s">
        <v>364</v>
      </c>
      <c r="D178" t="s">
        <v>447</v>
      </c>
      <c r="E178" t="b">
        <v>1</v>
      </c>
      <c r="F178" t="b">
        <v>1</v>
      </c>
      <c r="G178" t="s">
        <v>157</v>
      </c>
      <c r="H178">
        <v>0.9</v>
      </c>
      <c r="I178">
        <v>0.99999217456685219</v>
      </c>
      <c r="J178" s="3" t="s">
        <v>448</v>
      </c>
      <c r="K178" s="3" t="s">
        <v>448</v>
      </c>
      <c r="L178" s="3" t="s">
        <v>448</v>
      </c>
      <c r="M178" s="3">
        <f t="shared" si="25"/>
        <v>34</v>
      </c>
      <c r="N178" s="3" t="s">
        <v>720</v>
      </c>
      <c r="O178" s="3"/>
      <c r="P178" s="3">
        <f t="shared" si="33"/>
        <v>1</v>
      </c>
      <c r="Q178" s="3">
        <f t="shared" si="34"/>
        <v>0</v>
      </c>
      <c r="R178" s="4">
        <f t="shared" si="35"/>
        <v>0</v>
      </c>
      <c r="S178" s="4">
        <f t="shared" si="27"/>
        <v>0</v>
      </c>
      <c r="T178" s="4">
        <f t="shared" si="28"/>
        <v>0</v>
      </c>
      <c r="U178" s="4">
        <f t="shared" si="29"/>
        <v>0</v>
      </c>
      <c r="V178" s="4">
        <f t="shared" si="30"/>
        <v>0</v>
      </c>
      <c r="W178" s="4">
        <f t="shared" si="31"/>
        <v>0</v>
      </c>
      <c r="X178" s="4">
        <f t="shared" si="32"/>
        <v>0</v>
      </c>
      <c r="Y178" s="4">
        <f t="shared" si="26"/>
        <v>0</v>
      </c>
    </row>
    <row r="179" spans="1:25" ht="29" x14ac:dyDescent="0.35">
      <c r="A179" t="s">
        <v>449</v>
      </c>
      <c r="B179" s="3" t="s">
        <v>450</v>
      </c>
      <c r="C179" t="s">
        <v>364</v>
      </c>
      <c r="D179" t="s">
        <v>451</v>
      </c>
      <c r="E179" t="b">
        <v>0</v>
      </c>
      <c r="F179" t="b">
        <v>1</v>
      </c>
      <c r="G179" t="s">
        <v>157</v>
      </c>
      <c r="H179">
        <v>1</v>
      </c>
      <c r="I179">
        <v>0.99998888696104282</v>
      </c>
      <c r="J179" s="3" t="s">
        <v>452</v>
      </c>
      <c r="K179" s="3" t="s">
        <v>452</v>
      </c>
      <c r="L179" s="3" t="s">
        <v>452</v>
      </c>
      <c r="M179" s="3">
        <f t="shared" si="25"/>
        <v>35</v>
      </c>
      <c r="N179" s="3" t="s">
        <v>704</v>
      </c>
      <c r="O179" s="3"/>
      <c r="P179" s="3">
        <f t="shared" si="33"/>
        <v>0</v>
      </c>
      <c r="Q179" s="3">
        <f t="shared" si="34"/>
        <v>1</v>
      </c>
      <c r="R179" s="4">
        <f t="shared" si="35"/>
        <v>0</v>
      </c>
      <c r="S179" s="4">
        <f t="shared" si="27"/>
        <v>0</v>
      </c>
      <c r="T179" s="4">
        <f t="shared" si="28"/>
        <v>0</v>
      </c>
      <c r="U179" s="4">
        <f t="shared" si="29"/>
        <v>1</v>
      </c>
      <c r="V179" s="4">
        <f t="shared" si="30"/>
        <v>0</v>
      </c>
      <c r="W179" s="4">
        <f t="shared" si="31"/>
        <v>0</v>
      </c>
      <c r="X179" s="4">
        <f t="shared" si="32"/>
        <v>0</v>
      </c>
      <c r="Y179" s="4">
        <f t="shared" si="26"/>
        <v>0</v>
      </c>
    </row>
    <row r="180" spans="1:25" ht="29" x14ac:dyDescent="0.35">
      <c r="A180" t="s">
        <v>449</v>
      </c>
      <c r="B180" s="3" t="s">
        <v>450</v>
      </c>
      <c r="C180" t="s">
        <v>364</v>
      </c>
      <c r="D180" t="s">
        <v>453</v>
      </c>
      <c r="E180" s="5" t="b">
        <v>0</v>
      </c>
      <c r="F180" s="5" t="b">
        <v>1</v>
      </c>
      <c r="G180" t="s">
        <v>157</v>
      </c>
      <c r="J180" s="3" t="s">
        <v>454</v>
      </c>
      <c r="M180" s="3">
        <f t="shared" si="25"/>
        <v>35</v>
      </c>
      <c r="N180" s="3" t="s">
        <v>704</v>
      </c>
      <c r="O180" s="3"/>
      <c r="P180" s="3">
        <f t="shared" si="33"/>
        <v>0</v>
      </c>
      <c r="Q180" s="3">
        <f t="shared" si="34"/>
        <v>1</v>
      </c>
      <c r="R180" s="4">
        <f t="shared" si="35"/>
        <v>0</v>
      </c>
      <c r="S180" s="4">
        <f t="shared" si="27"/>
        <v>0</v>
      </c>
      <c r="T180" s="4">
        <f t="shared" si="28"/>
        <v>0</v>
      </c>
      <c r="U180" s="4">
        <f t="shared" si="29"/>
        <v>1</v>
      </c>
      <c r="V180" s="4">
        <f t="shared" si="30"/>
        <v>0</v>
      </c>
      <c r="W180" s="4">
        <f t="shared" si="31"/>
        <v>0</v>
      </c>
      <c r="X180" s="4">
        <f t="shared" si="32"/>
        <v>0</v>
      </c>
      <c r="Y180" s="4">
        <f t="shared" si="26"/>
        <v>0</v>
      </c>
    </row>
    <row r="181" spans="1:25" ht="29" x14ac:dyDescent="0.35">
      <c r="A181" t="s">
        <v>449</v>
      </c>
      <c r="B181" s="3" t="s">
        <v>450</v>
      </c>
      <c r="C181" t="s">
        <v>364</v>
      </c>
      <c r="D181" t="s">
        <v>455</v>
      </c>
      <c r="E181" t="b">
        <v>1</v>
      </c>
      <c r="F181" t="b">
        <v>0</v>
      </c>
      <c r="J181" s="3" t="s">
        <v>456</v>
      </c>
      <c r="M181" s="3">
        <f t="shared" si="25"/>
        <v>35</v>
      </c>
      <c r="N181" s="3" t="s">
        <v>715</v>
      </c>
      <c r="O181" s="3"/>
      <c r="P181" s="3">
        <f t="shared" si="33"/>
        <v>0</v>
      </c>
      <c r="Q181" s="3">
        <f t="shared" si="34"/>
        <v>0</v>
      </c>
      <c r="R181" s="4">
        <f t="shared" si="35"/>
        <v>1</v>
      </c>
      <c r="S181" s="4">
        <f t="shared" si="27"/>
        <v>0</v>
      </c>
      <c r="T181" s="4">
        <f t="shared" si="28"/>
        <v>0</v>
      </c>
      <c r="U181" s="4">
        <f t="shared" si="29"/>
        <v>0</v>
      </c>
      <c r="V181" s="4">
        <f t="shared" si="30"/>
        <v>0</v>
      </c>
      <c r="W181" s="4">
        <f t="shared" si="31"/>
        <v>1</v>
      </c>
      <c r="X181" s="4">
        <f t="shared" si="32"/>
        <v>0</v>
      </c>
      <c r="Y181" s="4">
        <f t="shared" si="26"/>
        <v>0</v>
      </c>
    </row>
    <row r="182" spans="1:25" ht="43.5" x14ac:dyDescent="0.35">
      <c r="A182" t="s">
        <v>457</v>
      </c>
      <c r="B182" s="3" t="s">
        <v>458</v>
      </c>
      <c r="C182" t="s">
        <v>364</v>
      </c>
      <c r="D182" t="s">
        <v>459</v>
      </c>
      <c r="E182" t="b">
        <v>1</v>
      </c>
      <c r="F182" t="b">
        <v>1</v>
      </c>
      <c r="G182" t="s">
        <v>157</v>
      </c>
      <c r="H182">
        <v>1</v>
      </c>
      <c r="I182">
        <v>0.99998841480462619</v>
      </c>
      <c r="J182" s="3" t="s">
        <v>460</v>
      </c>
      <c r="K182" s="3" t="s">
        <v>460</v>
      </c>
      <c r="L182" s="3" t="s">
        <v>460</v>
      </c>
      <c r="M182" s="3">
        <f t="shared" si="25"/>
        <v>36</v>
      </c>
      <c r="N182" s="3" t="s">
        <v>720</v>
      </c>
      <c r="O182" s="3"/>
      <c r="P182" s="3">
        <f t="shared" si="33"/>
        <v>1</v>
      </c>
      <c r="Q182" s="3">
        <f t="shared" si="34"/>
        <v>0</v>
      </c>
      <c r="R182" s="4">
        <f t="shared" si="35"/>
        <v>0</v>
      </c>
      <c r="S182" s="4">
        <f t="shared" si="27"/>
        <v>0</v>
      </c>
      <c r="T182" s="4">
        <f t="shared" si="28"/>
        <v>0</v>
      </c>
      <c r="U182" s="4">
        <f t="shared" si="29"/>
        <v>0</v>
      </c>
      <c r="V182" s="4">
        <f t="shared" si="30"/>
        <v>0</v>
      </c>
      <c r="W182" s="4">
        <f t="shared" si="31"/>
        <v>0</v>
      </c>
      <c r="X182" s="4">
        <f t="shared" si="32"/>
        <v>0</v>
      </c>
      <c r="Y182" s="4">
        <f t="shared" si="26"/>
        <v>0</v>
      </c>
    </row>
    <row r="183" spans="1:25" ht="43.5" x14ac:dyDescent="0.35">
      <c r="A183" t="s">
        <v>457</v>
      </c>
      <c r="B183" s="3" t="s">
        <v>458</v>
      </c>
      <c r="C183" t="s">
        <v>364</v>
      </c>
      <c r="D183" t="s">
        <v>447</v>
      </c>
      <c r="E183" t="b">
        <v>1</v>
      </c>
      <c r="F183" t="b">
        <v>1</v>
      </c>
      <c r="G183" t="s">
        <v>124</v>
      </c>
      <c r="H183">
        <v>0.9</v>
      </c>
      <c r="I183">
        <v>0.99999217456685219</v>
      </c>
      <c r="J183" s="3" t="s">
        <v>448</v>
      </c>
      <c r="K183" s="3" t="s">
        <v>448</v>
      </c>
      <c r="L183" s="3" t="s">
        <v>448</v>
      </c>
      <c r="M183" s="3">
        <f t="shared" si="25"/>
        <v>36</v>
      </c>
      <c r="N183" s="3" t="s">
        <v>720</v>
      </c>
      <c r="O183" s="3"/>
      <c r="P183" s="3">
        <f t="shared" si="33"/>
        <v>1</v>
      </c>
      <c r="Q183" s="3">
        <f t="shared" si="34"/>
        <v>0</v>
      </c>
      <c r="R183" s="4">
        <f t="shared" si="35"/>
        <v>0</v>
      </c>
      <c r="S183" s="4">
        <f t="shared" si="27"/>
        <v>0</v>
      </c>
      <c r="T183" s="4">
        <f t="shared" si="28"/>
        <v>0</v>
      </c>
      <c r="U183" s="4">
        <f t="shared" si="29"/>
        <v>0</v>
      </c>
      <c r="V183" s="4">
        <f t="shared" si="30"/>
        <v>0</v>
      </c>
      <c r="W183" s="4">
        <f t="shared" si="31"/>
        <v>0</v>
      </c>
      <c r="X183" s="4">
        <f t="shared" si="32"/>
        <v>0</v>
      </c>
      <c r="Y183" s="4">
        <f t="shared" si="26"/>
        <v>0</v>
      </c>
    </row>
    <row r="184" spans="1:25" ht="43.5" x14ac:dyDescent="0.35">
      <c r="A184" t="s">
        <v>457</v>
      </c>
      <c r="B184" s="3" t="s">
        <v>458</v>
      </c>
      <c r="C184" t="s">
        <v>364</v>
      </c>
      <c r="D184" t="s">
        <v>461</v>
      </c>
      <c r="E184" t="b">
        <v>0</v>
      </c>
      <c r="F184" t="b">
        <v>1</v>
      </c>
      <c r="G184" t="s">
        <v>124</v>
      </c>
      <c r="H184">
        <v>0.4</v>
      </c>
      <c r="I184">
        <v>0.83872373724815563</v>
      </c>
      <c r="J184" s="3" t="s">
        <v>462</v>
      </c>
      <c r="K184" s="3" t="s">
        <v>463</v>
      </c>
      <c r="L184" s="3" t="s">
        <v>464</v>
      </c>
      <c r="M184" s="3">
        <f t="shared" si="25"/>
        <v>36</v>
      </c>
      <c r="N184" s="3" t="s">
        <v>709</v>
      </c>
      <c r="O184" s="3"/>
      <c r="P184" s="3">
        <f t="shared" si="33"/>
        <v>0</v>
      </c>
      <c r="Q184" s="3">
        <f t="shared" si="34"/>
        <v>1</v>
      </c>
      <c r="R184" s="4">
        <f t="shared" si="35"/>
        <v>0</v>
      </c>
      <c r="S184" s="4">
        <f t="shared" si="27"/>
        <v>0</v>
      </c>
      <c r="T184" s="4">
        <f t="shared" si="28"/>
        <v>1</v>
      </c>
      <c r="U184" s="4">
        <f t="shared" si="29"/>
        <v>0</v>
      </c>
      <c r="V184" s="4">
        <f t="shared" si="30"/>
        <v>0</v>
      </c>
      <c r="W184" s="4">
        <f t="shared" si="31"/>
        <v>0</v>
      </c>
      <c r="X184" s="4">
        <f t="shared" si="32"/>
        <v>0</v>
      </c>
      <c r="Y184" s="4">
        <f t="shared" si="26"/>
        <v>0</v>
      </c>
    </row>
    <row r="185" spans="1:25" ht="43.5" x14ac:dyDescent="0.35">
      <c r="A185" t="s">
        <v>457</v>
      </c>
      <c r="B185" s="3" t="s">
        <v>458</v>
      </c>
      <c r="C185" t="s">
        <v>364</v>
      </c>
      <c r="D185" t="s">
        <v>465</v>
      </c>
      <c r="E185" t="b">
        <v>1</v>
      </c>
      <c r="F185" t="b">
        <v>0</v>
      </c>
      <c r="J185" s="3" t="s">
        <v>466</v>
      </c>
      <c r="M185" s="3">
        <f t="shared" si="25"/>
        <v>36</v>
      </c>
      <c r="N185" s="3" t="s">
        <v>718</v>
      </c>
      <c r="O185" s="3"/>
      <c r="P185" s="3">
        <f t="shared" si="33"/>
        <v>0</v>
      </c>
      <c r="Q185" s="3">
        <f t="shared" si="34"/>
        <v>0</v>
      </c>
      <c r="R185" s="4">
        <f t="shared" si="35"/>
        <v>1</v>
      </c>
      <c r="S185" s="4">
        <f t="shared" si="27"/>
        <v>0</v>
      </c>
      <c r="T185" s="4">
        <f t="shared" si="28"/>
        <v>0</v>
      </c>
      <c r="U185" s="4">
        <f t="shared" si="29"/>
        <v>0</v>
      </c>
      <c r="V185" s="4">
        <f t="shared" si="30"/>
        <v>1</v>
      </c>
      <c r="W185" s="4">
        <f t="shared" si="31"/>
        <v>0</v>
      </c>
      <c r="X185" s="4">
        <f t="shared" si="32"/>
        <v>0</v>
      </c>
      <c r="Y185" s="4">
        <f t="shared" si="26"/>
        <v>0</v>
      </c>
    </row>
    <row r="186" spans="1:25" ht="29" x14ac:dyDescent="0.35">
      <c r="A186" t="s">
        <v>467</v>
      </c>
      <c r="B186" s="3" t="s">
        <v>468</v>
      </c>
      <c r="C186" t="s">
        <v>364</v>
      </c>
      <c r="D186" t="s">
        <v>469</v>
      </c>
      <c r="E186" t="b">
        <v>1</v>
      </c>
      <c r="F186" t="b">
        <v>1</v>
      </c>
      <c r="G186" t="s">
        <v>157</v>
      </c>
      <c r="H186">
        <v>1</v>
      </c>
      <c r="I186">
        <v>0.99999222335109195</v>
      </c>
      <c r="J186" s="3" t="s">
        <v>470</v>
      </c>
      <c r="K186" s="3" t="s">
        <v>470</v>
      </c>
      <c r="L186" s="3" t="s">
        <v>470</v>
      </c>
      <c r="M186" s="3">
        <f t="shared" si="25"/>
        <v>37</v>
      </c>
      <c r="N186" s="3" t="s">
        <v>720</v>
      </c>
      <c r="O186" s="3"/>
      <c r="P186" s="3">
        <f t="shared" si="33"/>
        <v>1</v>
      </c>
      <c r="Q186" s="3">
        <f t="shared" si="34"/>
        <v>0</v>
      </c>
      <c r="R186" s="4">
        <f t="shared" si="35"/>
        <v>0</v>
      </c>
      <c r="S186" s="4">
        <f t="shared" si="27"/>
        <v>0</v>
      </c>
      <c r="T186" s="4">
        <f t="shared" si="28"/>
        <v>0</v>
      </c>
      <c r="U186" s="4">
        <f t="shared" si="29"/>
        <v>0</v>
      </c>
      <c r="V186" s="4">
        <f t="shared" si="30"/>
        <v>0</v>
      </c>
      <c r="W186" s="4">
        <f t="shared" si="31"/>
        <v>0</v>
      </c>
      <c r="X186" s="4">
        <f t="shared" si="32"/>
        <v>0</v>
      </c>
      <c r="Y186" s="4">
        <f t="shared" si="26"/>
        <v>0</v>
      </c>
    </row>
    <row r="187" spans="1:25" x14ac:dyDescent="0.35">
      <c r="A187" t="s">
        <v>467</v>
      </c>
      <c r="B187" s="3" t="s">
        <v>468</v>
      </c>
      <c r="C187" t="s">
        <v>364</v>
      </c>
      <c r="D187" t="s">
        <v>471</v>
      </c>
      <c r="E187" t="b">
        <v>1</v>
      </c>
      <c r="F187" t="b">
        <v>1</v>
      </c>
      <c r="G187" t="s">
        <v>157</v>
      </c>
      <c r="H187">
        <v>0.9</v>
      </c>
      <c r="I187">
        <v>0.9999942143534184</v>
      </c>
      <c r="J187" s="3" t="s">
        <v>472</v>
      </c>
      <c r="K187" s="3" t="s">
        <v>472</v>
      </c>
      <c r="L187" s="3" t="s">
        <v>472</v>
      </c>
      <c r="M187" s="3">
        <f t="shared" si="25"/>
        <v>37</v>
      </c>
      <c r="N187" s="3" t="s">
        <v>720</v>
      </c>
      <c r="O187" s="3"/>
      <c r="P187" s="3">
        <f t="shared" si="33"/>
        <v>1</v>
      </c>
      <c r="Q187" s="3">
        <f t="shared" si="34"/>
        <v>0</v>
      </c>
      <c r="R187" s="4">
        <f t="shared" si="35"/>
        <v>0</v>
      </c>
      <c r="S187" s="4">
        <f t="shared" si="27"/>
        <v>0</v>
      </c>
      <c r="T187" s="4">
        <f t="shared" si="28"/>
        <v>0</v>
      </c>
      <c r="U187" s="4">
        <f t="shared" si="29"/>
        <v>0</v>
      </c>
      <c r="V187" s="4">
        <f t="shared" si="30"/>
        <v>0</v>
      </c>
      <c r="W187" s="4">
        <f t="shared" si="31"/>
        <v>0</v>
      </c>
      <c r="X187" s="4">
        <f t="shared" si="32"/>
        <v>0</v>
      </c>
      <c r="Y187" s="4">
        <f t="shared" si="26"/>
        <v>0</v>
      </c>
    </row>
    <row r="188" spans="1:25" x14ac:dyDescent="0.35">
      <c r="A188" t="s">
        <v>467</v>
      </c>
      <c r="B188" s="3" t="s">
        <v>468</v>
      </c>
      <c r="C188" t="s">
        <v>364</v>
      </c>
      <c r="D188" t="s">
        <v>381</v>
      </c>
      <c r="E188" t="b">
        <v>0</v>
      </c>
      <c r="F188" t="b">
        <v>1</v>
      </c>
      <c r="G188" t="s">
        <v>124</v>
      </c>
      <c r="H188">
        <v>0.9</v>
      </c>
      <c r="I188">
        <v>0.99999199248378656</v>
      </c>
      <c r="J188" s="3" t="s">
        <v>382</v>
      </c>
      <c r="K188" s="3" t="s">
        <v>382</v>
      </c>
      <c r="L188" s="3" t="s">
        <v>382</v>
      </c>
      <c r="M188" s="3">
        <f t="shared" si="25"/>
        <v>37</v>
      </c>
      <c r="N188" s="3" t="s">
        <v>709</v>
      </c>
      <c r="O188" s="3"/>
      <c r="P188" s="3">
        <f t="shared" si="33"/>
        <v>0</v>
      </c>
      <c r="Q188" s="3">
        <f t="shared" si="34"/>
        <v>1</v>
      </c>
      <c r="R188" s="4">
        <f t="shared" si="35"/>
        <v>0</v>
      </c>
      <c r="S188" s="4">
        <f t="shared" si="27"/>
        <v>0</v>
      </c>
      <c r="T188" s="4">
        <f t="shared" si="28"/>
        <v>1</v>
      </c>
      <c r="U188" s="4">
        <f t="shared" si="29"/>
        <v>0</v>
      </c>
      <c r="V188" s="4">
        <f t="shared" si="30"/>
        <v>0</v>
      </c>
      <c r="W188" s="4">
        <f t="shared" si="31"/>
        <v>0</v>
      </c>
      <c r="X188" s="4">
        <f t="shared" si="32"/>
        <v>0</v>
      </c>
      <c r="Y188" s="4">
        <f t="shared" si="26"/>
        <v>0</v>
      </c>
    </row>
    <row r="189" spans="1:25" x14ac:dyDescent="0.35">
      <c r="A189" t="s">
        <v>467</v>
      </c>
      <c r="B189" s="3" t="s">
        <v>468</v>
      </c>
      <c r="C189" t="s">
        <v>364</v>
      </c>
      <c r="D189" t="s">
        <v>473</v>
      </c>
      <c r="E189" t="b">
        <v>0</v>
      </c>
      <c r="F189" t="b">
        <v>1</v>
      </c>
      <c r="G189" t="s">
        <v>157</v>
      </c>
      <c r="H189">
        <v>0.9</v>
      </c>
      <c r="I189">
        <v>0.99999233454417835</v>
      </c>
      <c r="J189" s="3" t="s">
        <v>474</v>
      </c>
      <c r="K189" s="3" t="s">
        <v>474</v>
      </c>
      <c r="L189" s="3" t="s">
        <v>474</v>
      </c>
      <c r="M189" s="3">
        <f t="shared" si="25"/>
        <v>37</v>
      </c>
      <c r="N189" s="3" t="s">
        <v>704</v>
      </c>
      <c r="O189" s="3"/>
      <c r="P189" s="3">
        <f t="shared" si="33"/>
        <v>0</v>
      </c>
      <c r="Q189" s="3">
        <f t="shared" si="34"/>
        <v>1</v>
      </c>
      <c r="R189" s="4">
        <f t="shared" si="35"/>
        <v>0</v>
      </c>
      <c r="S189" s="4">
        <f t="shared" si="27"/>
        <v>0</v>
      </c>
      <c r="T189" s="4">
        <f t="shared" si="28"/>
        <v>0</v>
      </c>
      <c r="U189" s="4">
        <f t="shared" si="29"/>
        <v>1</v>
      </c>
      <c r="V189" s="4">
        <f t="shared" si="30"/>
        <v>0</v>
      </c>
      <c r="W189" s="4">
        <f t="shared" si="31"/>
        <v>0</v>
      </c>
      <c r="X189" s="4">
        <f t="shared" si="32"/>
        <v>0</v>
      </c>
      <c r="Y189" s="4">
        <f t="shared" si="26"/>
        <v>0</v>
      </c>
    </row>
    <row r="190" spans="1:25" x14ac:dyDescent="0.35">
      <c r="A190" t="s">
        <v>467</v>
      </c>
      <c r="B190" s="3" t="s">
        <v>468</v>
      </c>
      <c r="C190" t="s">
        <v>364</v>
      </c>
      <c r="D190" t="s">
        <v>475</v>
      </c>
      <c r="E190" t="b">
        <v>0</v>
      </c>
      <c r="F190" t="b">
        <v>1</v>
      </c>
      <c r="G190" t="s">
        <v>124</v>
      </c>
      <c r="H190">
        <v>0.9</v>
      </c>
      <c r="I190">
        <v>0.9999896534302366</v>
      </c>
      <c r="J190" s="3" t="s">
        <v>476</v>
      </c>
      <c r="K190" s="3" t="s">
        <v>476</v>
      </c>
      <c r="L190" s="3" t="s">
        <v>476</v>
      </c>
      <c r="M190" s="3">
        <f t="shared" si="25"/>
        <v>37</v>
      </c>
      <c r="N190" s="3" t="s">
        <v>709</v>
      </c>
      <c r="O190" s="3"/>
      <c r="P190" s="3">
        <f t="shared" si="33"/>
        <v>0</v>
      </c>
      <c r="Q190" s="3">
        <f t="shared" si="34"/>
        <v>1</v>
      </c>
      <c r="R190" s="4">
        <f t="shared" si="35"/>
        <v>0</v>
      </c>
      <c r="S190" s="4">
        <f t="shared" si="27"/>
        <v>0</v>
      </c>
      <c r="T190" s="4">
        <f t="shared" si="28"/>
        <v>1</v>
      </c>
      <c r="U190" s="4">
        <f t="shared" si="29"/>
        <v>0</v>
      </c>
      <c r="V190" s="4">
        <f t="shared" si="30"/>
        <v>0</v>
      </c>
      <c r="W190" s="4">
        <f t="shared" si="31"/>
        <v>0</v>
      </c>
      <c r="X190" s="4">
        <f t="shared" si="32"/>
        <v>0</v>
      </c>
      <c r="Y190" s="4">
        <f t="shared" si="26"/>
        <v>0</v>
      </c>
    </row>
    <row r="191" spans="1:25" x14ac:dyDescent="0.35">
      <c r="A191" t="s">
        <v>467</v>
      </c>
      <c r="B191" s="3" t="s">
        <v>468</v>
      </c>
      <c r="C191" t="s">
        <v>364</v>
      </c>
      <c r="D191" t="s">
        <v>477</v>
      </c>
      <c r="E191" t="b">
        <v>0</v>
      </c>
      <c r="F191" t="b">
        <v>1</v>
      </c>
      <c r="G191" t="s">
        <v>51</v>
      </c>
      <c r="H191">
        <v>0.8</v>
      </c>
      <c r="I191">
        <v>0.99999249309923444</v>
      </c>
      <c r="J191" s="3" t="s">
        <v>478</v>
      </c>
      <c r="K191" s="3" t="s">
        <v>478</v>
      </c>
      <c r="L191" s="3" t="s">
        <v>478</v>
      </c>
      <c r="M191" s="3">
        <f t="shared" si="25"/>
        <v>37</v>
      </c>
      <c r="N191" s="3" t="s">
        <v>703</v>
      </c>
      <c r="O191" s="3"/>
      <c r="P191" s="3">
        <f t="shared" si="33"/>
        <v>0</v>
      </c>
      <c r="Q191" s="3">
        <f t="shared" si="34"/>
        <v>1</v>
      </c>
      <c r="R191" s="4">
        <f t="shared" si="35"/>
        <v>0</v>
      </c>
      <c r="S191" s="4">
        <f t="shared" si="27"/>
        <v>1</v>
      </c>
      <c r="T191" s="4">
        <f t="shared" si="28"/>
        <v>0</v>
      </c>
      <c r="U191" s="4">
        <f t="shared" si="29"/>
        <v>0</v>
      </c>
      <c r="V191" s="4">
        <f t="shared" si="30"/>
        <v>0</v>
      </c>
      <c r="W191" s="4">
        <f t="shared" si="31"/>
        <v>0</v>
      </c>
      <c r="X191" s="4">
        <f t="shared" si="32"/>
        <v>0</v>
      </c>
      <c r="Y191" s="4">
        <f t="shared" si="26"/>
        <v>0</v>
      </c>
    </row>
    <row r="192" spans="1:25" x14ac:dyDescent="0.35">
      <c r="A192" t="s">
        <v>467</v>
      </c>
      <c r="B192" s="3" t="s">
        <v>468</v>
      </c>
      <c r="C192" t="s">
        <v>364</v>
      </c>
      <c r="D192" t="s">
        <v>479</v>
      </c>
      <c r="E192" t="b">
        <v>1</v>
      </c>
      <c r="F192" t="b">
        <v>0</v>
      </c>
      <c r="J192" s="3" t="s">
        <v>480</v>
      </c>
      <c r="M192" s="3">
        <f t="shared" si="25"/>
        <v>37</v>
      </c>
      <c r="N192" s="3" t="s">
        <v>715</v>
      </c>
      <c r="O192" s="3"/>
      <c r="P192" s="3">
        <f t="shared" si="33"/>
        <v>0</v>
      </c>
      <c r="Q192" s="3">
        <f t="shared" si="34"/>
        <v>0</v>
      </c>
      <c r="R192" s="4">
        <f t="shared" si="35"/>
        <v>1</v>
      </c>
      <c r="S192" s="4">
        <f t="shared" si="27"/>
        <v>0</v>
      </c>
      <c r="T192" s="4">
        <f t="shared" si="28"/>
        <v>0</v>
      </c>
      <c r="U192" s="4">
        <f t="shared" si="29"/>
        <v>0</v>
      </c>
      <c r="V192" s="4">
        <f t="shared" si="30"/>
        <v>0</v>
      </c>
      <c r="W192" s="4">
        <f t="shared" si="31"/>
        <v>1</v>
      </c>
      <c r="X192" s="4">
        <f t="shared" si="32"/>
        <v>0</v>
      </c>
      <c r="Y192" s="4">
        <f t="shared" si="26"/>
        <v>0</v>
      </c>
    </row>
    <row r="193" spans="1:25" x14ac:dyDescent="0.35">
      <c r="A193" t="s">
        <v>467</v>
      </c>
      <c r="B193" s="3" t="s">
        <v>468</v>
      </c>
      <c r="C193" t="s">
        <v>364</v>
      </c>
      <c r="D193" t="s">
        <v>481</v>
      </c>
      <c r="E193" t="b">
        <v>1</v>
      </c>
      <c r="F193" t="b">
        <v>0</v>
      </c>
      <c r="J193" s="3" t="s">
        <v>482</v>
      </c>
      <c r="M193" s="3">
        <f t="shared" si="25"/>
        <v>37</v>
      </c>
      <c r="N193" s="3" t="s">
        <v>715</v>
      </c>
      <c r="O193" s="3"/>
      <c r="P193" s="3">
        <f t="shared" si="33"/>
        <v>0</v>
      </c>
      <c r="Q193" s="3">
        <f t="shared" si="34"/>
        <v>0</v>
      </c>
      <c r="R193" s="4">
        <f t="shared" si="35"/>
        <v>1</v>
      </c>
      <c r="S193" s="4">
        <f t="shared" si="27"/>
        <v>0</v>
      </c>
      <c r="T193" s="4">
        <f t="shared" si="28"/>
        <v>0</v>
      </c>
      <c r="U193" s="4">
        <f t="shared" si="29"/>
        <v>0</v>
      </c>
      <c r="V193" s="4">
        <f t="shared" si="30"/>
        <v>0</v>
      </c>
      <c r="W193" s="4">
        <f t="shared" si="31"/>
        <v>1</v>
      </c>
      <c r="X193" s="4">
        <f t="shared" si="32"/>
        <v>0</v>
      </c>
      <c r="Y193" s="4">
        <f t="shared" si="26"/>
        <v>0</v>
      </c>
    </row>
    <row r="194" spans="1:25" ht="43.5" x14ac:dyDescent="0.35">
      <c r="A194" t="s">
        <v>483</v>
      </c>
      <c r="B194" s="3" t="s">
        <v>484</v>
      </c>
      <c r="C194" t="s">
        <v>364</v>
      </c>
      <c r="D194" t="s">
        <v>485</v>
      </c>
      <c r="E194" t="b">
        <v>1</v>
      </c>
      <c r="F194" t="b">
        <v>1</v>
      </c>
      <c r="G194" t="s">
        <v>157</v>
      </c>
      <c r="H194">
        <v>1</v>
      </c>
      <c r="I194">
        <v>0.99999327256013715</v>
      </c>
      <c r="J194" s="3" t="s">
        <v>486</v>
      </c>
      <c r="K194" s="3" t="s">
        <v>487</v>
      </c>
      <c r="L194" s="3" t="s">
        <v>487</v>
      </c>
      <c r="M194" s="3">
        <f t="shared" ref="M194:M257" si="36">IF(A194&lt;&gt;A193,M193 + 1, M193)</f>
        <v>38</v>
      </c>
      <c r="N194" s="3" t="s">
        <v>720</v>
      </c>
      <c r="O194" s="3"/>
      <c r="P194" s="3">
        <f t="shared" si="33"/>
        <v>1</v>
      </c>
      <c r="Q194" s="3">
        <f t="shared" si="34"/>
        <v>0</v>
      </c>
      <c r="R194" s="4">
        <f t="shared" si="35"/>
        <v>0</v>
      </c>
      <c r="S194" s="4">
        <f t="shared" si="27"/>
        <v>0</v>
      </c>
      <c r="T194" s="4">
        <f t="shared" si="28"/>
        <v>0</v>
      </c>
      <c r="U194" s="4">
        <f t="shared" si="29"/>
        <v>0</v>
      </c>
      <c r="V194" s="4">
        <f t="shared" si="30"/>
        <v>0</v>
      </c>
      <c r="W194" s="4">
        <f t="shared" si="31"/>
        <v>0</v>
      </c>
      <c r="X194" s="4">
        <f t="shared" si="32"/>
        <v>0</v>
      </c>
      <c r="Y194" s="4">
        <f t="shared" ref="Y194:Y257" si="37">IF($O194="MEA", 1, 0)</f>
        <v>0</v>
      </c>
    </row>
    <row r="195" spans="1:25" ht="43.5" x14ac:dyDescent="0.35">
      <c r="A195" t="s">
        <v>483</v>
      </c>
      <c r="B195" s="3" t="s">
        <v>484</v>
      </c>
      <c r="C195" t="s">
        <v>364</v>
      </c>
      <c r="D195" t="s">
        <v>488</v>
      </c>
      <c r="E195" t="b">
        <v>0</v>
      </c>
      <c r="F195" t="b">
        <v>1</v>
      </c>
      <c r="G195" t="s">
        <v>124</v>
      </c>
      <c r="H195">
        <v>0.9</v>
      </c>
      <c r="I195">
        <v>0.95797339522976643</v>
      </c>
      <c r="J195" s="3" t="s">
        <v>489</v>
      </c>
      <c r="K195" s="3" t="s">
        <v>490</v>
      </c>
      <c r="L195" s="3" t="s">
        <v>491</v>
      </c>
      <c r="M195" s="3">
        <f t="shared" si="36"/>
        <v>38</v>
      </c>
      <c r="N195" s="3" t="s">
        <v>709</v>
      </c>
      <c r="O195" s="3"/>
      <c r="P195" s="3">
        <f t="shared" si="33"/>
        <v>0</v>
      </c>
      <c r="Q195" s="3">
        <f t="shared" si="34"/>
        <v>1</v>
      </c>
      <c r="R195" s="4">
        <f t="shared" si="35"/>
        <v>0</v>
      </c>
      <c r="S195" s="4">
        <f t="shared" ref="S195:S258" si="38">IF($N195="FP0", 1, 0)</f>
        <v>0</v>
      </c>
      <c r="T195" s="4">
        <f t="shared" ref="T195:T258" si="39">IF($N195="FP1", 1, 0)</f>
        <v>1</v>
      </c>
      <c r="U195" s="4">
        <f t="shared" ref="U195:U258" si="40">IF($N195="FP2", 1, 0)</f>
        <v>0</v>
      </c>
      <c r="V195" s="4">
        <f t="shared" ref="V195:V258" si="41">IF($N195="FNM", 1, 0)</f>
        <v>0</v>
      </c>
      <c r="W195" s="4">
        <f t="shared" ref="W195:W258" si="42">IF($N195="FNC", 1, 0)</f>
        <v>0</v>
      </c>
      <c r="X195" s="4">
        <f t="shared" ref="X195:X258" si="43">IF($O195="MEU", 1, 0)</f>
        <v>0</v>
      </c>
      <c r="Y195" s="4">
        <f t="shared" si="37"/>
        <v>0</v>
      </c>
    </row>
    <row r="196" spans="1:25" ht="43.5" x14ac:dyDescent="0.35">
      <c r="A196" t="s">
        <v>483</v>
      </c>
      <c r="B196" s="3" t="s">
        <v>484</v>
      </c>
      <c r="C196" t="s">
        <v>364</v>
      </c>
      <c r="D196" t="s">
        <v>492</v>
      </c>
      <c r="E196" t="b">
        <v>0</v>
      </c>
      <c r="F196" t="b">
        <v>1</v>
      </c>
      <c r="G196" t="s">
        <v>51</v>
      </c>
      <c r="H196">
        <v>0.9</v>
      </c>
      <c r="I196">
        <v>0.8723148788062276</v>
      </c>
      <c r="J196" s="3" t="s">
        <v>493</v>
      </c>
      <c r="K196" s="3" t="s">
        <v>494</v>
      </c>
      <c r="L196" s="3" t="s">
        <v>495</v>
      </c>
      <c r="M196" s="3">
        <f t="shared" si="36"/>
        <v>38</v>
      </c>
      <c r="N196" s="3" t="s">
        <v>703</v>
      </c>
      <c r="O196" s="3" t="s">
        <v>742</v>
      </c>
      <c r="P196" s="3">
        <f t="shared" si="33"/>
        <v>0</v>
      </c>
      <c r="Q196" s="3">
        <f t="shared" si="34"/>
        <v>1</v>
      </c>
      <c r="R196" s="4">
        <f t="shared" si="35"/>
        <v>0</v>
      </c>
      <c r="S196" s="4">
        <f t="shared" si="38"/>
        <v>1</v>
      </c>
      <c r="T196" s="4">
        <f t="shared" si="39"/>
        <v>0</v>
      </c>
      <c r="U196" s="4">
        <f t="shared" si="40"/>
        <v>0</v>
      </c>
      <c r="V196" s="4">
        <f t="shared" si="41"/>
        <v>0</v>
      </c>
      <c r="W196" s="4">
        <f t="shared" si="42"/>
        <v>0</v>
      </c>
      <c r="X196" s="4">
        <f t="shared" si="43"/>
        <v>0</v>
      </c>
      <c r="Y196" s="4">
        <f t="shared" si="37"/>
        <v>1</v>
      </c>
    </row>
    <row r="197" spans="1:25" ht="43.5" x14ac:dyDescent="0.35">
      <c r="A197" t="s">
        <v>483</v>
      </c>
      <c r="B197" s="3" t="s">
        <v>484</v>
      </c>
      <c r="C197" t="s">
        <v>364</v>
      </c>
      <c r="D197" t="s">
        <v>496</v>
      </c>
      <c r="E197" t="b">
        <v>0</v>
      </c>
      <c r="F197" t="b">
        <v>1</v>
      </c>
      <c r="G197" t="s">
        <v>124</v>
      </c>
      <c r="H197">
        <v>0.8</v>
      </c>
      <c r="I197">
        <v>0.84701596251370603</v>
      </c>
      <c r="J197" s="3" t="s">
        <v>497</v>
      </c>
      <c r="K197" s="3" t="s">
        <v>497</v>
      </c>
      <c r="L197" s="3" t="s">
        <v>498</v>
      </c>
      <c r="M197" s="3">
        <f t="shared" si="36"/>
        <v>38</v>
      </c>
      <c r="N197" s="3" t="s">
        <v>709</v>
      </c>
      <c r="O197" s="3"/>
      <c r="P197" s="3">
        <f t="shared" si="33"/>
        <v>0</v>
      </c>
      <c r="Q197" s="3">
        <f t="shared" si="34"/>
        <v>1</v>
      </c>
      <c r="R197" s="4">
        <f t="shared" si="35"/>
        <v>0</v>
      </c>
      <c r="S197" s="4">
        <f t="shared" si="38"/>
        <v>0</v>
      </c>
      <c r="T197" s="4">
        <f t="shared" si="39"/>
        <v>1</v>
      </c>
      <c r="U197" s="4">
        <f t="shared" si="40"/>
        <v>0</v>
      </c>
      <c r="V197" s="4">
        <f t="shared" si="41"/>
        <v>0</v>
      </c>
      <c r="W197" s="4">
        <f t="shared" si="42"/>
        <v>0</v>
      </c>
      <c r="X197" s="4">
        <f t="shared" si="43"/>
        <v>0</v>
      </c>
      <c r="Y197" s="4">
        <f t="shared" si="37"/>
        <v>0</v>
      </c>
    </row>
    <row r="198" spans="1:25" ht="43.5" x14ac:dyDescent="0.35">
      <c r="A198" t="s">
        <v>483</v>
      </c>
      <c r="B198" s="3" t="s">
        <v>484</v>
      </c>
      <c r="C198" t="s">
        <v>364</v>
      </c>
      <c r="D198" t="s">
        <v>499</v>
      </c>
      <c r="E198" t="b">
        <v>1</v>
      </c>
      <c r="F198" t="b">
        <v>0</v>
      </c>
      <c r="J198" s="3" t="s">
        <v>500</v>
      </c>
      <c r="M198" s="3">
        <f t="shared" si="36"/>
        <v>38</v>
      </c>
      <c r="N198" s="3" t="s">
        <v>715</v>
      </c>
      <c r="O198" s="3"/>
      <c r="P198" s="3">
        <f t="shared" si="33"/>
        <v>0</v>
      </c>
      <c r="Q198" s="3">
        <f t="shared" si="34"/>
        <v>0</v>
      </c>
      <c r="R198" s="4">
        <f t="shared" si="35"/>
        <v>1</v>
      </c>
      <c r="S198" s="4">
        <f t="shared" si="38"/>
        <v>0</v>
      </c>
      <c r="T198" s="4">
        <f t="shared" si="39"/>
        <v>0</v>
      </c>
      <c r="U198" s="4">
        <f t="shared" si="40"/>
        <v>0</v>
      </c>
      <c r="V198" s="4">
        <f t="shared" si="41"/>
        <v>0</v>
      </c>
      <c r="W198" s="4">
        <f t="shared" si="42"/>
        <v>1</v>
      </c>
      <c r="X198" s="4">
        <f t="shared" si="43"/>
        <v>0</v>
      </c>
      <c r="Y198" s="4">
        <f t="shared" si="37"/>
        <v>0</v>
      </c>
    </row>
    <row r="199" spans="1:25" ht="58" x14ac:dyDescent="0.35">
      <c r="A199" t="s">
        <v>501</v>
      </c>
      <c r="B199" s="3" t="s">
        <v>502</v>
      </c>
      <c r="C199" t="s">
        <v>503</v>
      </c>
      <c r="D199" t="s">
        <v>504</v>
      </c>
      <c r="E199" t="b">
        <v>0</v>
      </c>
      <c r="F199" t="b">
        <v>1</v>
      </c>
      <c r="G199" t="s">
        <v>157</v>
      </c>
      <c r="H199">
        <v>1</v>
      </c>
      <c r="I199">
        <v>0.9999926172809972</v>
      </c>
      <c r="J199" s="3" t="s">
        <v>505</v>
      </c>
      <c r="K199" s="3" t="s">
        <v>505</v>
      </c>
      <c r="L199" s="3" t="s">
        <v>505</v>
      </c>
      <c r="M199" s="3">
        <f t="shared" si="36"/>
        <v>39</v>
      </c>
      <c r="N199" s="3" t="s">
        <v>704</v>
      </c>
      <c r="O199" s="3"/>
      <c r="P199" s="3">
        <f t="shared" si="33"/>
        <v>0</v>
      </c>
      <c r="Q199" s="3">
        <f t="shared" si="34"/>
        <v>1</v>
      </c>
      <c r="R199" s="4">
        <f t="shared" si="35"/>
        <v>0</v>
      </c>
      <c r="S199" s="4">
        <f t="shared" si="38"/>
        <v>0</v>
      </c>
      <c r="T199" s="4">
        <f t="shared" si="39"/>
        <v>0</v>
      </c>
      <c r="U199" s="4">
        <f t="shared" si="40"/>
        <v>1</v>
      </c>
      <c r="V199" s="4">
        <f t="shared" si="41"/>
        <v>0</v>
      </c>
      <c r="W199" s="4">
        <f t="shared" si="42"/>
        <v>0</v>
      </c>
      <c r="X199" s="4">
        <f t="shared" si="43"/>
        <v>0</v>
      </c>
      <c r="Y199" s="4">
        <f t="shared" si="37"/>
        <v>0</v>
      </c>
    </row>
    <row r="200" spans="1:25" ht="58" x14ac:dyDescent="0.35">
      <c r="A200" t="s">
        <v>501</v>
      </c>
      <c r="B200" s="3" t="s">
        <v>502</v>
      </c>
      <c r="C200" t="s">
        <v>503</v>
      </c>
      <c r="D200" t="s">
        <v>506</v>
      </c>
      <c r="E200" t="b">
        <v>0</v>
      </c>
      <c r="F200" t="b">
        <v>1</v>
      </c>
      <c r="G200" t="s">
        <v>157</v>
      </c>
      <c r="H200">
        <v>0.9</v>
      </c>
      <c r="I200">
        <v>0.99999038988593403</v>
      </c>
      <c r="J200" s="3" t="s">
        <v>507</v>
      </c>
      <c r="K200" s="3" t="s">
        <v>507</v>
      </c>
      <c r="L200" s="3" t="s">
        <v>507</v>
      </c>
      <c r="M200" s="3">
        <f t="shared" si="36"/>
        <v>39</v>
      </c>
      <c r="N200" s="3" t="s">
        <v>704</v>
      </c>
      <c r="O200" s="3"/>
      <c r="P200" s="3">
        <f t="shared" si="33"/>
        <v>0</v>
      </c>
      <c r="Q200" s="3">
        <f t="shared" si="34"/>
        <v>1</v>
      </c>
      <c r="R200" s="4">
        <f t="shared" si="35"/>
        <v>0</v>
      </c>
      <c r="S200" s="4">
        <f t="shared" si="38"/>
        <v>0</v>
      </c>
      <c r="T200" s="4">
        <f t="shared" si="39"/>
        <v>0</v>
      </c>
      <c r="U200" s="4">
        <f t="shared" si="40"/>
        <v>1</v>
      </c>
      <c r="V200" s="4">
        <f t="shared" si="41"/>
        <v>0</v>
      </c>
      <c r="W200" s="4">
        <f t="shared" si="42"/>
        <v>0</v>
      </c>
      <c r="X200" s="4">
        <f t="shared" si="43"/>
        <v>0</v>
      </c>
      <c r="Y200" s="4">
        <f t="shared" si="37"/>
        <v>0</v>
      </c>
    </row>
    <row r="201" spans="1:25" ht="58" x14ac:dyDescent="0.35">
      <c r="A201" t="s">
        <v>501</v>
      </c>
      <c r="B201" s="3" t="s">
        <v>502</v>
      </c>
      <c r="C201" t="s">
        <v>503</v>
      </c>
      <c r="D201" t="s">
        <v>508</v>
      </c>
      <c r="E201" t="b">
        <v>1</v>
      </c>
      <c r="F201" t="b">
        <v>0</v>
      </c>
      <c r="J201" s="3" t="s">
        <v>509</v>
      </c>
      <c r="M201" s="3">
        <f t="shared" si="36"/>
        <v>39</v>
      </c>
      <c r="N201" s="3" t="s">
        <v>715</v>
      </c>
      <c r="O201" s="3"/>
      <c r="P201" s="3">
        <f t="shared" si="33"/>
        <v>0</v>
      </c>
      <c r="Q201" s="3">
        <f t="shared" si="34"/>
        <v>0</v>
      </c>
      <c r="R201" s="4">
        <f t="shared" si="35"/>
        <v>1</v>
      </c>
      <c r="S201" s="4">
        <f t="shared" si="38"/>
        <v>0</v>
      </c>
      <c r="T201" s="4">
        <f t="shared" si="39"/>
        <v>0</v>
      </c>
      <c r="U201" s="4">
        <f t="shared" si="40"/>
        <v>0</v>
      </c>
      <c r="V201" s="4">
        <f t="shared" si="41"/>
        <v>0</v>
      </c>
      <c r="W201" s="4">
        <f t="shared" si="42"/>
        <v>1</v>
      </c>
      <c r="X201" s="4">
        <f t="shared" si="43"/>
        <v>0</v>
      </c>
      <c r="Y201" s="4">
        <f t="shared" si="37"/>
        <v>0</v>
      </c>
    </row>
    <row r="202" spans="1:25" ht="58" x14ac:dyDescent="0.35">
      <c r="A202" t="s">
        <v>501</v>
      </c>
      <c r="B202" s="3" t="s">
        <v>502</v>
      </c>
      <c r="C202" t="s">
        <v>503</v>
      </c>
      <c r="D202" t="s">
        <v>510</v>
      </c>
      <c r="E202" t="b">
        <v>1</v>
      </c>
      <c r="F202" t="b">
        <v>0</v>
      </c>
      <c r="J202" s="3" t="s">
        <v>511</v>
      </c>
      <c r="M202" s="3">
        <f t="shared" si="36"/>
        <v>39</v>
      </c>
      <c r="N202" s="3" t="s">
        <v>715</v>
      </c>
      <c r="O202" s="3"/>
      <c r="P202" s="3">
        <f t="shared" si="33"/>
        <v>0</v>
      </c>
      <c r="Q202" s="3">
        <f t="shared" si="34"/>
        <v>0</v>
      </c>
      <c r="R202" s="4">
        <f t="shared" si="35"/>
        <v>1</v>
      </c>
      <c r="S202" s="4">
        <f t="shared" si="38"/>
        <v>0</v>
      </c>
      <c r="T202" s="4">
        <f t="shared" si="39"/>
        <v>0</v>
      </c>
      <c r="U202" s="4">
        <f t="shared" si="40"/>
        <v>0</v>
      </c>
      <c r="V202" s="4">
        <f t="shared" si="41"/>
        <v>0</v>
      </c>
      <c r="W202" s="4">
        <f t="shared" si="42"/>
        <v>1</v>
      </c>
      <c r="X202" s="4">
        <f t="shared" si="43"/>
        <v>0</v>
      </c>
      <c r="Y202" s="4">
        <f t="shared" si="37"/>
        <v>0</v>
      </c>
    </row>
    <row r="203" spans="1:25" ht="58" x14ac:dyDescent="0.35">
      <c r="A203" t="s">
        <v>501</v>
      </c>
      <c r="B203" s="3" t="s">
        <v>502</v>
      </c>
      <c r="C203" t="s">
        <v>503</v>
      </c>
      <c r="D203" t="s">
        <v>512</v>
      </c>
      <c r="E203" t="b">
        <v>1</v>
      </c>
      <c r="F203" t="b">
        <v>0</v>
      </c>
      <c r="J203" s="3" t="s">
        <v>513</v>
      </c>
      <c r="M203" s="3">
        <f t="shared" si="36"/>
        <v>39</v>
      </c>
      <c r="N203" s="3" t="s">
        <v>718</v>
      </c>
      <c r="O203" s="3"/>
      <c r="P203" s="3">
        <f t="shared" si="33"/>
        <v>0</v>
      </c>
      <c r="Q203" s="3">
        <f t="shared" si="34"/>
        <v>0</v>
      </c>
      <c r="R203" s="4">
        <f t="shared" si="35"/>
        <v>1</v>
      </c>
      <c r="S203" s="4">
        <f t="shared" si="38"/>
        <v>0</v>
      </c>
      <c r="T203" s="4">
        <f t="shared" si="39"/>
        <v>0</v>
      </c>
      <c r="U203" s="4">
        <f t="shared" si="40"/>
        <v>0</v>
      </c>
      <c r="V203" s="4">
        <f t="shared" si="41"/>
        <v>1</v>
      </c>
      <c r="W203" s="4">
        <f t="shared" si="42"/>
        <v>0</v>
      </c>
      <c r="X203" s="4">
        <f t="shared" si="43"/>
        <v>0</v>
      </c>
      <c r="Y203" s="4">
        <f t="shared" si="37"/>
        <v>0</v>
      </c>
    </row>
    <row r="204" spans="1:25" ht="29" x14ac:dyDescent="0.35">
      <c r="A204" t="s">
        <v>514</v>
      </c>
      <c r="B204" s="3" t="s">
        <v>515</v>
      </c>
      <c r="C204" t="s">
        <v>516</v>
      </c>
      <c r="D204" t="s">
        <v>517</v>
      </c>
      <c r="E204" t="b">
        <v>1</v>
      </c>
      <c r="F204" t="b">
        <v>1</v>
      </c>
      <c r="G204" t="s">
        <v>20</v>
      </c>
      <c r="H204">
        <v>1</v>
      </c>
      <c r="I204">
        <v>0.99999132292698278</v>
      </c>
      <c r="J204" s="3" t="s">
        <v>518</v>
      </c>
      <c r="K204" s="3" t="s">
        <v>518</v>
      </c>
      <c r="L204" s="3" t="s">
        <v>518</v>
      </c>
      <c r="M204" s="3">
        <f t="shared" si="36"/>
        <v>40</v>
      </c>
      <c r="N204" s="3" t="s">
        <v>720</v>
      </c>
      <c r="O204" s="3"/>
      <c r="P204" s="3">
        <f t="shared" si="33"/>
        <v>1</v>
      </c>
      <c r="Q204" s="3">
        <f t="shared" si="34"/>
        <v>0</v>
      </c>
      <c r="R204" s="4">
        <f t="shared" si="35"/>
        <v>0</v>
      </c>
      <c r="S204" s="4">
        <f t="shared" si="38"/>
        <v>0</v>
      </c>
      <c r="T204" s="4">
        <f t="shared" si="39"/>
        <v>0</v>
      </c>
      <c r="U204" s="4">
        <f t="shared" si="40"/>
        <v>0</v>
      </c>
      <c r="V204" s="4">
        <f t="shared" si="41"/>
        <v>0</v>
      </c>
      <c r="W204" s="4">
        <f t="shared" si="42"/>
        <v>0</v>
      </c>
      <c r="X204" s="4">
        <f t="shared" si="43"/>
        <v>0</v>
      </c>
      <c r="Y204" s="4">
        <f t="shared" si="37"/>
        <v>0</v>
      </c>
    </row>
    <row r="205" spans="1:25" ht="43.5" x14ac:dyDescent="0.35">
      <c r="A205" t="s">
        <v>514</v>
      </c>
      <c r="B205" s="3" t="s">
        <v>515</v>
      </c>
      <c r="C205" t="s">
        <v>516</v>
      </c>
      <c r="D205" t="s">
        <v>519</v>
      </c>
      <c r="E205" t="b">
        <v>0</v>
      </c>
      <c r="F205" t="b">
        <v>1</v>
      </c>
      <c r="G205" t="s">
        <v>20</v>
      </c>
      <c r="H205">
        <v>0.9</v>
      </c>
      <c r="I205">
        <v>0.99999245333259235</v>
      </c>
      <c r="J205" s="3" t="s">
        <v>520</v>
      </c>
      <c r="K205" s="3" t="s">
        <v>521</v>
      </c>
      <c r="L205" s="3" t="s">
        <v>521</v>
      </c>
      <c r="M205" s="3">
        <f t="shared" si="36"/>
        <v>40</v>
      </c>
      <c r="N205" s="3" t="s">
        <v>704</v>
      </c>
      <c r="O205" s="3"/>
      <c r="P205" s="3">
        <f t="shared" si="33"/>
        <v>0</v>
      </c>
      <c r="Q205" s="3">
        <f t="shared" si="34"/>
        <v>1</v>
      </c>
      <c r="R205" s="4">
        <f t="shared" si="35"/>
        <v>0</v>
      </c>
      <c r="S205" s="4">
        <f t="shared" si="38"/>
        <v>0</v>
      </c>
      <c r="T205" s="4">
        <f t="shared" si="39"/>
        <v>0</v>
      </c>
      <c r="U205" s="4">
        <f t="shared" si="40"/>
        <v>1</v>
      </c>
      <c r="V205" s="4">
        <f t="shared" si="41"/>
        <v>0</v>
      </c>
      <c r="W205" s="4">
        <f t="shared" si="42"/>
        <v>0</v>
      </c>
      <c r="X205" s="4">
        <f t="shared" si="43"/>
        <v>0</v>
      </c>
      <c r="Y205" s="4">
        <f t="shared" si="37"/>
        <v>0</v>
      </c>
    </row>
    <row r="206" spans="1:25" ht="29" x14ac:dyDescent="0.35">
      <c r="A206" t="s">
        <v>514</v>
      </c>
      <c r="B206" s="3" t="s">
        <v>515</v>
      </c>
      <c r="C206" t="s">
        <v>516</v>
      </c>
      <c r="D206" t="s">
        <v>522</v>
      </c>
      <c r="E206" t="b">
        <v>0</v>
      </c>
      <c r="F206" t="b">
        <v>1</v>
      </c>
      <c r="G206" t="s">
        <v>36</v>
      </c>
      <c r="H206">
        <v>0.9</v>
      </c>
      <c r="I206">
        <v>0.9999886316299158</v>
      </c>
      <c r="J206" s="3" t="s">
        <v>523</v>
      </c>
      <c r="K206" s="3" t="s">
        <v>523</v>
      </c>
      <c r="L206" s="3" t="s">
        <v>523</v>
      </c>
      <c r="M206" s="3">
        <f t="shared" si="36"/>
        <v>40</v>
      </c>
      <c r="N206" s="3" t="s">
        <v>709</v>
      </c>
      <c r="O206" s="3"/>
      <c r="P206" s="3">
        <f t="shared" si="33"/>
        <v>0</v>
      </c>
      <c r="Q206" s="3">
        <f t="shared" si="34"/>
        <v>1</v>
      </c>
      <c r="R206" s="4">
        <f t="shared" si="35"/>
        <v>0</v>
      </c>
      <c r="S206" s="4">
        <f t="shared" si="38"/>
        <v>0</v>
      </c>
      <c r="T206" s="4">
        <f t="shared" si="39"/>
        <v>1</v>
      </c>
      <c r="U206" s="4">
        <f t="shared" si="40"/>
        <v>0</v>
      </c>
      <c r="V206" s="4">
        <f t="shared" si="41"/>
        <v>0</v>
      </c>
      <c r="W206" s="4">
        <f t="shared" si="42"/>
        <v>0</v>
      </c>
      <c r="X206" s="4">
        <f t="shared" si="43"/>
        <v>0</v>
      </c>
      <c r="Y206" s="4">
        <f t="shared" si="37"/>
        <v>0</v>
      </c>
    </row>
    <row r="207" spans="1:25" ht="29" x14ac:dyDescent="0.35">
      <c r="A207" t="s">
        <v>514</v>
      </c>
      <c r="B207" s="3" t="s">
        <v>515</v>
      </c>
      <c r="C207" t="s">
        <v>516</v>
      </c>
      <c r="D207" t="s">
        <v>524</v>
      </c>
      <c r="E207" t="b">
        <v>0</v>
      </c>
      <c r="F207" t="b">
        <v>1</v>
      </c>
      <c r="G207" t="s">
        <v>51</v>
      </c>
      <c r="H207">
        <v>0.9</v>
      </c>
      <c r="I207">
        <v>0.99999126298574803</v>
      </c>
      <c r="J207" s="3" t="s">
        <v>525</v>
      </c>
      <c r="K207" s="3" t="s">
        <v>525</v>
      </c>
      <c r="L207" s="3" t="s">
        <v>525</v>
      </c>
      <c r="M207" s="3">
        <f t="shared" si="36"/>
        <v>40</v>
      </c>
      <c r="N207" s="3" t="s">
        <v>703</v>
      </c>
      <c r="O207" s="3"/>
      <c r="P207" s="3">
        <f t="shared" si="33"/>
        <v>0</v>
      </c>
      <c r="Q207" s="3">
        <f t="shared" si="34"/>
        <v>1</v>
      </c>
      <c r="R207" s="4">
        <f t="shared" si="35"/>
        <v>0</v>
      </c>
      <c r="S207" s="4">
        <f t="shared" si="38"/>
        <v>1</v>
      </c>
      <c r="T207" s="4">
        <f t="shared" si="39"/>
        <v>0</v>
      </c>
      <c r="U207" s="4">
        <f t="shared" si="40"/>
        <v>0</v>
      </c>
      <c r="V207" s="4">
        <f t="shared" si="41"/>
        <v>0</v>
      </c>
      <c r="W207" s="4">
        <f t="shared" si="42"/>
        <v>0</v>
      </c>
      <c r="X207" s="4">
        <f t="shared" si="43"/>
        <v>0</v>
      </c>
      <c r="Y207" s="4">
        <f t="shared" si="37"/>
        <v>0</v>
      </c>
    </row>
    <row r="208" spans="1:25" ht="29" x14ac:dyDescent="0.35">
      <c r="A208" t="s">
        <v>514</v>
      </c>
      <c r="B208" s="3" t="s">
        <v>515</v>
      </c>
      <c r="C208" t="s">
        <v>516</v>
      </c>
      <c r="D208" t="s">
        <v>526</v>
      </c>
      <c r="E208" t="b">
        <v>1</v>
      </c>
      <c r="F208" t="b">
        <v>0</v>
      </c>
      <c r="J208" s="3" t="s">
        <v>527</v>
      </c>
      <c r="M208" s="3">
        <f t="shared" si="36"/>
        <v>40</v>
      </c>
      <c r="N208" s="3" t="s">
        <v>718</v>
      </c>
      <c r="O208" s="3"/>
      <c r="P208" s="3">
        <f t="shared" si="33"/>
        <v>0</v>
      </c>
      <c r="Q208" s="3">
        <f t="shared" si="34"/>
        <v>0</v>
      </c>
      <c r="R208" s="4">
        <f t="shared" si="35"/>
        <v>1</v>
      </c>
      <c r="S208" s="4">
        <f t="shared" si="38"/>
        <v>0</v>
      </c>
      <c r="T208" s="4">
        <f t="shared" si="39"/>
        <v>0</v>
      </c>
      <c r="U208" s="4">
        <f t="shared" si="40"/>
        <v>0</v>
      </c>
      <c r="V208" s="4">
        <f t="shared" si="41"/>
        <v>1</v>
      </c>
      <c r="W208" s="4">
        <f t="shared" si="42"/>
        <v>0</v>
      </c>
      <c r="X208" s="4">
        <f t="shared" si="43"/>
        <v>0</v>
      </c>
      <c r="Y208" s="4">
        <f t="shared" si="37"/>
        <v>0</v>
      </c>
    </row>
    <row r="209" spans="1:25" ht="29" x14ac:dyDescent="0.35">
      <c r="A209" t="s">
        <v>528</v>
      </c>
      <c r="B209" s="3" t="s">
        <v>529</v>
      </c>
      <c r="C209" t="s">
        <v>530</v>
      </c>
      <c r="D209" t="s">
        <v>531</v>
      </c>
      <c r="E209" s="5" t="b">
        <v>0</v>
      </c>
      <c r="F209" s="5" t="b">
        <v>1</v>
      </c>
      <c r="G209" t="s">
        <v>157</v>
      </c>
      <c r="J209" s="3" t="s">
        <v>532</v>
      </c>
      <c r="M209" s="3">
        <f t="shared" si="36"/>
        <v>41</v>
      </c>
      <c r="N209" s="3" t="s">
        <v>704</v>
      </c>
      <c r="O209" s="3"/>
      <c r="P209" s="3">
        <f t="shared" si="33"/>
        <v>0</v>
      </c>
      <c r="Q209" s="3">
        <f t="shared" si="34"/>
        <v>1</v>
      </c>
      <c r="R209" s="4">
        <f t="shared" si="35"/>
        <v>0</v>
      </c>
      <c r="S209" s="4">
        <f t="shared" si="38"/>
        <v>0</v>
      </c>
      <c r="T209" s="4">
        <f t="shared" si="39"/>
        <v>0</v>
      </c>
      <c r="U209" s="4">
        <f t="shared" si="40"/>
        <v>1</v>
      </c>
      <c r="V209" s="4">
        <f t="shared" si="41"/>
        <v>0</v>
      </c>
      <c r="W209" s="4">
        <f t="shared" si="42"/>
        <v>0</v>
      </c>
      <c r="X209" s="4">
        <f t="shared" si="43"/>
        <v>0</v>
      </c>
      <c r="Y209" s="4">
        <f t="shared" si="37"/>
        <v>0</v>
      </c>
    </row>
    <row r="210" spans="1:25" ht="29" x14ac:dyDescent="0.35">
      <c r="A210" t="s">
        <v>528</v>
      </c>
      <c r="B210" s="3" t="s">
        <v>529</v>
      </c>
      <c r="C210" t="s">
        <v>530</v>
      </c>
      <c r="D210" t="s">
        <v>533</v>
      </c>
      <c r="E210" t="b">
        <v>1</v>
      </c>
      <c r="F210" s="5" t="b">
        <v>1</v>
      </c>
      <c r="G210" t="s">
        <v>157</v>
      </c>
      <c r="J210" s="3" t="s">
        <v>534</v>
      </c>
      <c r="M210" s="3">
        <f t="shared" si="36"/>
        <v>41</v>
      </c>
      <c r="N210" s="3" t="s">
        <v>720</v>
      </c>
      <c r="O210" s="3"/>
      <c r="P210" s="3">
        <f t="shared" si="33"/>
        <v>1</v>
      </c>
      <c r="Q210" s="3">
        <f t="shared" si="34"/>
        <v>0</v>
      </c>
      <c r="R210" s="4">
        <f t="shared" si="35"/>
        <v>0</v>
      </c>
      <c r="S210" s="4">
        <f t="shared" si="38"/>
        <v>0</v>
      </c>
      <c r="T210" s="4">
        <f t="shared" si="39"/>
        <v>0</v>
      </c>
      <c r="U210" s="4">
        <f t="shared" si="40"/>
        <v>0</v>
      </c>
      <c r="V210" s="4">
        <f t="shared" si="41"/>
        <v>0</v>
      </c>
      <c r="W210" s="4">
        <f t="shared" si="42"/>
        <v>0</v>
      </c>
      <c r="X210" s="4">
        <f t="shared" si="43"/>
        <v>0</v>
      </c>
      <c r="Y210" s="4">
        <f t="shared" si="37"/>
        <v>0</v>
      </c>
    </row>
    <row r="211" spans="1:25" ht="29" x14ac:dyDescent="0.35">
      <c r="A211" t="s">
        <v>528</v>
      </c>
      <c r="B211" s="3" t="s">
        <v>529</v>
      </c>
      <c r="C211" t="s">
        <v>530</v>
      </c>
      <c r="D211" t="s">
        <v>535</v>
      </c>
      <c r="E211" t="b">
        <v>1</v>
      </c>
      <c r="F211" s="5" t="b">
        <v>1</v>
      </c>
      <c r="G211" t="s">
        <v>157</v>
      </c>
      <c r="J211" s="3" t="s">
        <v>536</v>
      </c>
      <c r="M211" s="3">
        <f t="shared" si="36"/>
        <v>41</v>
      </c>
      <c r="N211" s="3" t="s">
        <v>720</v>
      </c>
      <c r="O211" s="3"/>
      <c r="P211" s="3">
        <f t="shared" si="33"/>
        <v>1</v>
      </c>
      <c r="Q211" s="3">
        <f t="shared" si="34"/>
        <v>0</v>
      </c>
      <c r="R211" s="4">
        <f t="shared" si="35"/>
        <v>0</v>
      </c>
      <c r="S211" s="4">
        <f t="shared" si="38"/>
        <v>0</v>
      </c>
      <c r="T211" s="4">
        <f t="shared" si="39"/>
        <v>0</v>
      </c>
      <c r="U211" s="4">
        <f t="shared" si="40"/>
        <v>0</v>
      </c>
      <c r="V211" s="4">
        <f t="shared" si="41"/>
        <v>0</v>
      </c>
      <c r="W211" s="4">
        <f t="shared" si="42"/>
        <v>0</v>
      </c>
      <c r="X211" s="4">
        <f t="shared" si="43"/>
        <v>0</v>
      </c>
      <c r="Y211" s="4">
        <f t="shared" si="37"/>
        <v>0</v>
      </c>
    </row>
    <row r="212" spans="1:25" ht="29" x14ac:dyDescent="0.35">
      <c r="A212" t="s">
        <v>528</v>
      </c>
      <c r="B212" s="3" t="s">
        <v>529</v>
      </c>
      <c r="C212" t="s">
        <v>530</v>
      </c>
      <c r="D212" t="s">
        <v>537</v>
      </c>
      <c r="E212" t="b">
        <v>1</v>
      </c>
      <c r="F212" t="b">
        <v>0</v>
      </c>
      <c r="J212" s="3" t="s">
        <v>538</v>
      </c>
      <c r="M212" s="3">
        <f t="shared" si="36"/>
        <v>41</v>
      </c>
      <c r="N212" s="3" t="s">
        <v>718</v>
      </c>
      <c r="O212" s="3"/>
      <c r="P212" s="3">
        <f t="shared" si="33"/>
        <v>0</v>
      </c>
      <c r="Q212" s="3">
        <f t="shared" si="34"/>
        <v>0</v>
      </c>
      <c r="R212" s="4">
        <f t="shared" si="35"/>
        <v>1</v>
      </c>
      <c r="S212" s="4">
        <f t="shared" si="38"/>
        <v>0</v>
      </c>
      <c r="T212" s="4">
        <f t="shared" si="39"/>
        <v>0</v>
      </c>
      <c r="U212" s="4">
        <f t="shared" si="40"/>
        <v>0</v>
      </c>
      <c r="V212" s="4">
        <f t="shared" si="41"/>
        <v>1</v>
      </c>
      <c r="W212" s="4">
        <f t="shared" si="42"/>
        <v>0</v>
      </c>
      <c r="X212" s="4">
        <f t="shared" si="43"/>
        <v>0</v>
      </c>
      <c r="Y212" s="4">
        <f t="shared" si="37"/>
        <v>0</v>
      </c>
    </row>
    <row r="213" spans="1:25" ht="29" x14ac:dyDescent="0.35">
      <c r="A213" t="s">
        <v>539</v>
      </c>
      <c r="B213" s="3" t="s">
        <v>540</v>
      </c>
      <c r="C213" t="s">
        <v>530</v>
      </c>
      <c r="D213" t="s">
        <v>541</v>
      </c>
      <c r="E213" t="b">
        <v>0</v>
      </c>
      <c r="F213" t="b">
        <v>1</v>
      </c>
      <c r="G213" t="s">
        <v>51</v>
      </c>
      <c r="H213">
        <v>0.9</v>
      </c>
      <c r="I213">
        <v>0.71647043756359186</v>
      </c>
      <c r="J213" s="3" t="s">
        <v>542</v>
      </c>
      <c r="K213" s="3" t="s">
        <v>542</v>
      </c>
      <c r="L213" s="3" t="s">
        <v>543</v>
      </c>
      <c r="M213" s="3">
        <f t="shared" si="36"/>
        <v>42</v>
      </c>
      <c r="N213" s="3" t="s">
        <v>703</v>
      </c>
      <c r="O213" s="3" t="s">
        <v>712</v>
      </c>
      <c r="P213" s="3">
        <f t="shared" si="33"/>
        <v>0</v>
      </c>
      <c r="Q213" s="3">
        <f t="shared" si="34"/>
        <v>1</v>
      </c>
      <c r="R213" s="4">
        <f t="shared" si="35"/>
        <v>0</v>
      </c>
      <c r="S213" s="4">
        <f t="shared" si="38"/>
        <v>1</v>
      </c>
      <c r="T213" s="4">
        <f t="shared" si="39"/>
        <v>0</v>
      </c>
      <c r="U213" s="4">
        <f t="shared" si="40"/>
        <v>0</v>
      </c>
      <c r="V213" s="4">
        <f t="shared" si="41"/>
        <v>0</v>
      </c>
      <c r="W213" s="4">
        <f t="shared" si="42"/>
        <v>0</v>
      </c>
      <c r="X213" s="4">
        <f t="shared" si="43"/>
        <v>1</v>
      </c>
      <c r="Y213" s="4">
        <f t="shared" si="37"/>
        <v>0</v>
      </c>
    </row>
    <row r="214" spans="1:25" ht="29" x14ac:dyDescent="0.35">
      <c r="A214" t="s">
        <v>539</v>
      </c>
      <c r="B214" s="3" t="s">
        <v>540</v>
      </c>
      <c r="C214" t="s">
        <v>530</v>
      </c>
      <c r="D214" t="s">
        <v>544</v>
      </c>
      <c r="E214" t="b">
        <v>0</v>
      </c>
      <c r="F214" t="b">
        <v>1</v>
      </c>
      <c r="G214" t="s">
        <v>124</v>
      </c>
      <c r="H214">
        <v>0.9</v>
      </c>
      <c r="I214">
        <v>0.99998825431898519</v>
      </c>
      <c r="J214" s="3" t="s">
        <v>545</v>
      </c>
      <c r="K214" s="3" t="s">
        <v>545</v>
      </c>
      <c r="L214" s="3" t="s">
        <v>545</v>
      </c>
      <c r="M214" s="3">
        <f t="shared" si="36"/>
        <v>42</v>
      </c>
      <c r="N214" s="3" t="s">
        <v>709</v>
      </c>
      <c r="O214" s="3"/>
      <c r="P214" s="3">
        <f t="shared" si="33"/>
        <v>0</v>
      </c>
      <c r="Q214" s="3">
        <f t="shared" si="34"/>
        <v>1</v>
      </c>
      <c r="R214" s="4">
        <f t="shared" si="35"/>
        <v>0</v>
      </c>
      <c r="S214" s="4">
        <f t="shared" si="38"/>
        <v>0</v>
      </c>
      <c r="T214" s="4">
        <f t="shared" si="39"/>
        <v>1</v>
      </c>
      <c r="U214" s="4">
        <f t="shared" si="40"/>
        <v>0</v>
      </c>
      <c r="V214" s="4">
        <f t="shared" si="41"/>
        <v>0</v>
      </c>
      <c r="W214" s="4">
        <f t="shared" si="42"/>
        <v>0</v>
      </c>
      <c r="X214" s="4">
        <f t="shared" si="43"/>
        <v>0</v>
      </c>
      <c r="Y214" s="4">
        <f t="shared" si="37"/>
        <v>0</v>
      </c>
    </row>
    <row r="215" spans="1:25" ht="29" x14ac:dyDescent="0.35">
      <c r="A215" t="s">
        <v>539</v>
      </c>
      <c r="B215" s="3" t="s">
        <v>540</v>
      </c>
      <c r="C215" t="s">
        <v>530</v>
      </c>
      <c r="D215" t="s">
        <v>546</v>
      </c>
      <c r="E215" t="b">
        <v>0</v>
      </c>
      <c r="F215" t="b">
        <v>1</v>
      </c>
      <c r="G215" t="s">
        <v>157</v>
      </c>
      <c r="H215">
        <v>0.9</v>
      </c>
      <c r="I215">
        <v>0.99998683288325396</v>
      </c>
      <c r="J215" s="3" t="s">
        <v>547</v>
      </c>
      <c r="K215" s="3" t="s">
        <v>547</v>
      </c>
      <c r="L215" s="3" t="s">
        <v>547</v>
      </c>
      <c r="M215" s="3">
        <f t="shared" si="36"/>
        <v>42</v>
      </c>
      <c r="N215" s="3" t="s">
        <v>704</v>
      </c>
      <c r="O215" s="3"/>
      <c r="P215" s="3">
        <f t="shared" si="33"/>
        <v>0</v>
      </c>
      <c r="Q215" s="3">
        <f t="shared" si="34"/>
        <v>1</v>
      </c>
      <c r="R215" s="4">
        <f t="shared" si="35"/>
        <v>0</v>
      </c>
      <c r="S215" s="4">
        <f t="shared" si="38"/>
        <v>0</v>
      </c>
      <c r="T215" s="4">
        <f t="shared" si="39"/>
        <v>0</v>
      </c>
      <c r="U215" s="4">
        <f t="shared" si="40"/>
        <v>1</v>
      </c>
      <c r="V215" s="4">
        <f t="shared" si="41"/>
        <v>0</v>
      </c>
      <c r="W215" s="4">
        <f t="shared" si="42"/>
        <v>0</v>
      </c>
      <c r="X215" s="4">
        <f t="shared" si="43"/>
        <v>0</v>
      </c>
      <c r="Y215" s="4">
        <f t="shared" si="37"/>
        <v>0</v>
      </c>
    </row>
    <row r="216" spans="1:25" ht="29" x14ac:dyDescent="0.35">
      <c r="A216" t="s">
        <v>539</v>
      </c>
      <c r="B216" s="3" t="s">
        <v>540</v>
      </c>
      <c r="C216" t="s">
        <v>530</v>
      </c>
      <c r="D216" t="s">
        <v>548</v>
      </c>
      <c r="E216" t="b">
        <v>1</v>
      </c>
      <c r="F216" t="b">
        <v>1</v>
      </c>
      <c r="G216" t="s">
        <v>157</v>
      </c>
      <c r="H216">
        <v>0.9</v>
      </c>
      <c r="I216">
        <v>0.89531498759022865</v>
      </c>
      <c r="J216" s="3" t="s">
        <v>549</v>
      </c>
      <c r="K216" s="3" t="s">
        <v>550</v>
      </c>
      <c r="L216" s="3" t="s">
        <v>551</v>
      </c>
      <c r="M216" s="3">
        <f t="shared" si="36"/>
        <v>42</v>
      </c>
      <c r="N216" s="3" t="s">
        <v>720</v>
      </c>
      <c r="O216" s="3"/>
      <c r="P216" s="3">
        <f t="shared" si="33"/>
        <v>1</v>
      </c>
      <c r="Q216" s="3">
        <f t="shared" si="34"/>
        <v>0</v>
      </c>
      <c r="R216" s="4">
        <f t="shared" si="35"/>
        <v>0</v>
      </c>
      <c r="S216" s="4">
        <f t="shared" si="38"/>
        <v>0</v>
      </c>
      <c r="T216" s="4">
        <f t="shared" si="39"/>
        <v>0</v>
      </c>
      <c r="U216" s="4">
        <f t="shared" si="40"/>
        <v>0</v>
      </c>
      <c r="V216" s="4">
        <f t="shared" si="41"/>
        <v>0</v>
      </c>
      <c r="W216" s="4">
        <f t="shared" si="42"/>
        <v>0</v>
      </c>
      <c r="X216" s="4">
        <f t="shared" si="43"/>
        <v>0</v>
      </c>
      <c r="Y216" s="4">
        <f t="shared" si="37"/>
        <v>0</v>
      </c>
    </row>
    <row r="217" spans="1:25" ht="29" x14ac:dyDescent="0.35">
      <c r="A217" t="s">
        <v>539</v>
      </c>
      <c r="B217" s="3" t="s">
        <v>540</v>
      </c>
      <c r="C217" t="s">
        <v>530</v>
      </c>
      <c r="D217" t="s">
        <v>552</v>
      </c>
      <c r="E217" t="b">
        <v>1</v>
      </c>
      <c r="F217" t="b">
        <v>0</v>
      </c>
      <c r="J217" s="3" t="s">
        <v>553</v>
      </c>
      <c r="M217" s="3">
        <f t="shared" si="36"/>
        <v>42</v>
      </c>
      <c r="N217" s="3" t="s">
        <v>718</v>
      </c>
      <c r="O217" s="3"/>
      <c r="P217" s="3">
        <f t="shared" si="33"/>
        <v>0</v>
      </c>
      <c r="Q217" s="3">
        <f t="shared" si="34"/>
        <v>0</v>
      </c>
      <c r="R217" s="4">
        <f t="shared" si="35"/>
        <v>1</v>
      </c>
      <c r="S217" s="4">
        <f t="shared" si="38"/>
        <v>0</v>
      </c>
      <c r="T217" s="4">
        <f t="shared" si="39"/>
        <v>0</v>
      </c>
      <c r="U217" s="4">
        <f t="shared" si="40"/>
        <v>0</v>
      </c>
      <c r="V217" s="4">
        <f t="shared" si="41"/>
        <v>1</v>
      </c>
      <c r="W217" s="4">
        <f t="shared" si="42"/>
        <v>0</v>
      </c>
      <c r="X217" s="4">
        <f t="shared" si="43"/>
        <v>0</v>
      </c>
      <c r="Y217" s="4">
        <f t="shared" si="37"/>
        <v>0</v>
      </c>
    </row>
    <row r="218" spans="1:25" ht="29" x14ac:dyDescent="0.35">
      <c r="A218" t="s">
        <v>539</v>
      </c>
      <c r="B218" s="3" t="s">
        <v>540</v>
      </c>
      <c r="C218" t="s">
        <v>530</v>
      </c>
      <c r="D218" t="s">
        <v>554</v>
      </c>
      <c r="E218" t="b">
        <v>1</v>
      </c>
      <c r="F218" t="b">
        <v>0</v>
      </c>
      <c r="J218" s="3" t="s">
        <v>555</v>
      </c>
      <c r="M218" s="3">
        <f t="shared" si="36"/>
        <v>42</v>
      </c>
      <c r="N218" s="3" t="s">
        <v>718</v>
      </c>
      <c r="O218" s="3"/>
      <c r="P218" s="3">
        <f t="shared" si="33"/>
        <v>0</v>
      </c>
      <c r="Q218" s="3">
        <f t="shared" si="34"/>
        <v>0</v>
      </c>
      <c r="R218" s="4">
        <f t="shared" si="35"/>
        <v>1</v>
      </c>
      <c r="S218" s="4">
        <f t="shared" si="38"/>
        <v>0</v>
      </c>
      <c r="T218" s="4">
        <f t="shared" si="39"/>
        <v>0</v>
      </c>
      <c r="U218" s="4">
        <f t="shared" si="40"/>
        <v>0</v>
      </c>
      <c r="V218" s="4">
        <f t="shared" si="41"/>
        <v>1</v>
      </c>
      <c r="W218" s="4">
        <f t="shared" si="42"/>
        <v>0</v>
      </c>
      <c r="X218" s="4">
        <f t="shared" si="43"/>
        <v>0</v>
      </c>
      <c r="Y218" s="4">
        <f t="shared" si="37"/>
        <v>0</v>
      </c>
    </row>
    <row r="219" spans="1:25" ht="43.5" x14ac:dyDescent="0.35">
      <c r="A219" t="s">
        <v>556</v>
      </c>
      <c r="B219" s="3" t="s">
        <v>557</v>
      </c>
      <c r="C219" t="s">
        <v>530</v>
      </c>
      <c r="D219" t="s">
        <v>558</v>
      </c>
      <c r="E219" t="b">
        <v>1</v>
      </c>
      <c r="F219" t="b">
        <v>1</v>
      </c>
      <c r="G219" t="s">
        <v>124</v>
      </c>
      <c r="H219">
        <v>0.9</v>
      </c>
      <c r="I219">
        <v>0.99998733070058177</v>
      </c>
      <c r="J219" s="3" t="s">
        <v>559</v>
      </c>
      <c r="K219" s="3" t="s">
        <v>559</v>
      </c>
      <c r="L219" s="3" t="s">
        <v>559</v>
      </c>
      <c r="M219" s="3">
        <f t="shared" si="36"/>
        <v>43</v>
      </c>
      <c r="N219" s="3" t="s">
        <v>720</v>
      </c>
      <c r="O219" s="3"/>
      <c r="P219" s="3">
        <f t="shared" si="33"/>
        <v>1</v>
      </c>
      <c r="Q219" s="3">
        <f t="shared" si="34"/>
        <v>0</v>
      </c>
      <c r="R219" s="4">
        <f t="shared" si="35"/>
        <v>0</v>
      </c>
      <c r="S219" s="4">
        <f t="shared" si="38"/>
        <v>0</v>
      </c>
      <c r="T219" s="4">
        <f t="shared" si="39"/>
        <v>0</v>
      </c>
      <c r="U219" s="4">
        <f t="shared" si="40"/>
        <v>0</v>
      </c>
      <c r="V219" s="4">
        <f t="shared" si="41"/>
        <v>0</v>
      </c>
      <c r="W219" s="4">
        <f t="shared" si="42"/>
        <v>0</v>
      </c>
      <c r="X219" s="4">
        <f t="shared" si="43"/>
        <v>0</v>
      </c>
      <c r="Y219" s="4">
        <f t="shared" si="37"/>
        <v>0</v>
      </c>
    </row>
    <row r="220" spans="1:25" ht="43.5" x14ac:dyDescent="0.35">
      <c r="A220" t="s">
        <v>556</v>
      </c>
      <c r="B220" s="3" t="s">
        <v>557</v>
      </c>
      <c r="C220" t="s">
        <v>530</v>
      </c>
      <c r="D220" t="s">
        <v>560</v>
      </c>
      <c r="E220" t="b">
        <v>1</v>
      </c>
      <c r="F220" t="b">
        <v>1</v>
      </c>
      <c r="G220" t="s">
        <v>157</v>
      </c>
      <c r="H220">
        <v>0.9</v>
      </c>
      <c r="I220">
        <v>0.99999288441337841</v>
      </c>
      <c r="J220" s="3" t="s">
        <v>561</v>
      </c>
      <c r="K220" s="3" t="s">
        <v>561</v>
      </c>
      <c r="L220" s="3" t="s">
        <v>561</v>
      </c>
      <c r="M220" s="3">
        <f t="shared" si="36"/>
        <v>43</v>
      </c>
      <c r="N220" s="3" t="s">
        <v>720</v>
      </c>
      <c r="O220" s="3"/>
      <c r="P220" s="3">
        <f t="shared" si="33"/>
        <v>1</v>
      </c>
      <c r="Q220" s="3">
        <f t="shared" si="34"/>
        <v>0</v>
      </c>
      <c r="R220" s="4">
        <f t="shared" si="35"/>
        <v>0</v>
      </c>
      <c r="S220" s="4">
        <f t="shared" si="38"/>
        <v>0</v>
      </c>
      <c r="T220" s="4">
        <f t="shared" si="39"/>
        <v>0</v>
      </c>
      <c r="U220" s="4">
        <f t="shared" si="40"/>
        <v>0</v>
      </c>
      <c r="V220" s="4">
        <f t="shared" si="41"/>
        <v>0</v>
      </c>
      <c r="W220" s="4">
        <f t="shared" si="42"/>
        <v>0</v>
      </c>
      <c r="X220" s="4">
        <f t="shared" si="43"/>
        <v>0</v>
      </c>
      <c r="Y220" s="4">
        <f t="shared" si="37"/>
        <v>0</v>
      </c>
    </row>
    <row r="221" spans="1:25" ht="43.5" x14ac:dyDescent="0.35">
      <c r="A221" t="s">
        <v>556</v>
      </c>
      <c r="B221" s="3" t="s">
        <v>557</v>
      </c>
      <c r="C221" t="s">
        <v>530</v>
      </c>
      <c r="D221" t="s">
        <v>562</v>
      </c>
      <c r="E221" t="b">
        <v>0</v>
      </c>
      <c r="F221" t="b">
        <v>1</v>
      </c>
      <c r="G221" t="s">
        <v>124</v>
      </c>
      <c r="H221">
        <v>0.8</v>
      </c>
      <c r="I221">
        <v>0.79663086306041453</v>
      </c>
      <c r="J221" s="3" t="s">
        <v>563</v>
      </c>
      <c r="K221" s="3" t="s">
        <v>564</v>
      </c>
      <c r="L221" s="3" t="s">
        <v>565</v>
      </c>
      <c r="M221" s="3">
        <f t="shared" si="36"/>
        <v>43</v>
      </c>
      <c r="N221" s="3" t="s">
        <v>709</v>
      </c>
      <c r="O221" s="3"/>
      <c r="P221" s="3">
        <f t="shared" si="33"/>
        <v>0</v>
      </c>
      <c r="Q221" s="3">
        <f t="shared" si="34"/>
        <v>1</v>
      </c>
      <c r="R221" s="4">
        <f t="shared" si="35"/>
        <v>0</v>
      </c>
      <c r="S221" s="4">
        <f t="shared" si="38"/>
        <v>0</v>
      </c>
      <c r="T221" s="4">
        <f t="shared" si="39"/>
        <v>1</v>
      </c>
      <c r="U221" s="4">
        <f t="shared" si="40"/>
        <v>0</v>
      </c>
      <c r="V221" s="4">
        <f t="shared" si="41"/>
        <v>0</v>
      </c>
      <c r="W221" s="4">
        <f t="shared" si="42"/>
        <v>0</v>
      </c>
      <c r="X221" s="4">
        <f t="shared" si="43"/>
        <v>0</v>
      </c>
      <c r="Y221" s="4">
        <f t="shared" si="37"/>
        <v>0</v>
      </c>
    </row>
    <row r="222" spans="1:25" ht="43.5" x14ac:dyDescent="0.35">
      <c r="A222" t="s">
        <v>556</v>
      </c>
      <c r="B222" s="3" t="s">
        <v>557</v>
      </c>
      <c r="C222" t="s">
        <v>530</v>
      </c>
      <c r="D222" t="s">
        <v>566</v>
      </c>
      <c r="E222" t="b">
        <v>0</v>
      </c>
      <c r="F222" t="b">
        <v>1</v>
      </c>
      <c r="G222" t="s">
        <v>124</v>
      </c>
      <c r="H222">
        <v>0.8</v>
      </c>
      <c r="I222">
        <v>0.77122832449431011</v>
      </c>
      <c r="J222" s="3" t="s">
        <v>567</v>
      </c>
      <c r="K222" s="3" t="s">
        <v>567</v>
      </c>
      <c r="L222" s="3" t="s">
        <v>568</v>
      </c>
      <c r="M222" s="3">
        <f t="shared" si="36"/>
        <v>43</v>
      </c>
      <c r="N222" s="3" t="s">
        <v>709</v>
      </c>
      <c r="O222" s="3"/>
      <c r="P222" s="3">
        <f t="shared" si="33"/>
        <v>0</v>
      </c>
      <c r="Q222" s="3">
        <f t="shared" si="34"/>
        <v>1</v>
      </c>
      <c r="R222" s="4">
        <f t="shared" si="35"/>
        <v>0</v>
      </c>
      <c r="S222" s="4">
        <f t="shared" si="38"/>
        <v>0</v>
      </c>
      <c r="T222" s="4">
        <f t="shared" si="39"/>
        <v>1</v>
      </c>
      <c r="U222" s="4">
        <f t="shared" si="40"/>
        <v>0</v>
      </c>
      <c r="V222" s="4">
        <f t="shared" si="41"/>
        <v>0</v>
      </c>
      <c r="W222" s="4">
        <f t="shared" si="42"/>
        <v>0</v>
      </c>
      <c r="X222" s="4">
        <f t="shared" si="43"/>
        <v>0</v>
      </c>
      <c r="Y222" s="4">
        <f t="shared" si="37"/>
        <v>0</v>
      </c>
    </row>
    <row r="223" spans="1:25" ht="43.5" x14ac:dyDescent="0.35">
      <c r="A223" t="s">
        <v>556</v>
      </c>
      <c r="B223" s="3" t="s">
        <v>557</v>
      </c>
      <c r="C223" t="s">
        <v>530</v>
      </c>
      <c r="D223" t="s">
        <v>569</v>
      </c>
      <c r="E223" t="b">
        <v>0</v>
      </c>
      <c r="F223" t="b">
        <v>1</v>
      </c>
      <c r="G223" t="s">
        <v>157</v>
      </c>
      <c r="H223">
        <v>0.8</v>
      </c>
      <c r="I223">
        <v>0.83738841925404328</v>
      </c>
      <c r="J223" s="3" t="s">
        <v>570</v>
      </c>
      <c r="K223" s="3" t="s">
        <v>571</v>
      </c>
      <c r="L223" s="3" t="s">
        <v>572</v>
      </c>
      <c r="M223" s="3">
        <f t="shared" si="36"/>
        <v>43</v>
      </c>
      <c r="N223" s="3" t="s">
        <v>704</v>
      </c>
      <c r="O223" s="3"/>
      <c r="P223" s="3">
        <f t="shared" si="33"/>
        <v>0</v>
      </c>
      <c r="Q223" s="3">
        <f t="shared" si="34"/>
        <v>1</v>
      </c>
      <c r="R223" s="4">
        <f t="shared" si="35"/>
        <v>0</v>
      </c>
      <c r="S223" s="4">
        <f t="shared" si="38"/>
        <v>0</v>
      </c>
      <c r="T223" s="4">
        <f t="shared" si="39"/>
        <v>0</v>
      </c>
      <c r="U223" s="4">
        <f t="shared" si="40"/>
        <v>1</v>
      </c>
      <c r="V223" s="4">
        <f t="shared" si="41"/>
        <v>0</v>
      </c>
      <c r="W223" s="4">
        <f t="shared" si="42"/>
        <v>0</v>
      </c>
      <c r="X223" s="4">
        <f t="shared" si="43"/>
        <v>0</v>
      </c>
      <c r="Y223" s="4">
        <f t="shared" si="37"/>
        <v>0</v>
      </c>
    </row>
    <row r="224" spans="1:25" ht="43.5" x14ac:dyDescent="0.35">
      <c r="A224" t="s">
        <v>556</v>
      </c>
      <c r="B224" s="3" t="s">
        <v>557</v>
      </c>
      <c r="C224" t="s">
        <v>530</v>
      </c>
      <c r="D224" t="s">
        <v>573</v>
      </c>
      <c r="E224" t="b">
        <v>1</v>
      </c>
      <c r="F224" t="b">
        <v>0</v>
      </c>
      <c r="J224" s="3" t="s">
        <v>574</v>
      </c>
      <c r="M224" s="3">
        <f t="shared" si="36"/>
        <v>43</v>
      </c>
      <c r="N224" s="3" t="s">
        <v>718</v>
      </c>
      <c r="O224" s="3"/>
      <c r="P224" s="3">
        <f t="shared" si="33"/>
        <v>0</v>
      </c>
      <c r="Q224" s="3">
        <f t="shared" si="34"/>
        <v>0</v>
      </c>
      <c r="R224" s="4">
        <f t="shared" si="35"/>
        <v>1</v>
      </c>
      <c r="S224" s="4">
        <f t="shared" si="38"/>
        <v>0</v>
      </c>
      <c r="T224" s="4">
        <f t="shared" si="39"/>
        <v>0</v>
      </c>
      <c r="U224" s="4">
        <f t="shared" si="40"/>
        <v>0</v>
      </c>
      <c r="V224" s="4">
        <f t="shared" si="41"/>
        <v>1</v>
      </c>
      <c r="W224" s="4">
        <f t="shared" si="42"/>
        <v>0</v>
      </c>
      <c r="X224" s="4">
        <f t="shared" si="43"/>
        <v>0</v>
      </c>
      <c r="Y224" s="4">
        <f t="shared" si="37"/>
        <v>0</v>
      </c>
    </row>
    <row r="225" spans="1:25" ht="43.5" x14ac:dyDescent="0.35">
      <c r="A225" t="s">
        <v>556</v>
      </c>
      <c r="B225" s="3" t="s">
        <v>557</v>
      </c>
      <c r="C225" t="s">
        <v>530</v>
      </c>
      <c r="D225" t="s">
        <v>575</v>
      </c>
      <c r="E225" t="b">
        <v>1</v>
      </c>
      <c r="F225" t="b">
        <v>0</v>
      </c>
      <c r="J225" s="3" t="s">
        <v>576</v>
      </c>
      <c r="M225" s="3">
        <f t="shared" si="36"/>
        <v>43</v>
      </c>
      <c r="N225" s="3" t="s">
        <v>715</v>
      </c>
      <c r="O225" s="3"/>
      <c r="P225" s="3">
        <f t="shared" si="33"/>
        <v>0</v>
      </c>
      <c r="Q225" s="3">
        <f t="shared" si="34"/>
        <v>0</v>
      </c>
      <c r="R225" s="4">
        <f t="shared" si="35"/>
        <v>1</v>
      </c>
      <c r="S225" s="4">
        <f t="shared" si="38"/>
        <v>0</v>
      </c>
      <c r="T225" s="4">
        <f t="shared" si="39"/>
        <v>0</v>
      </c>
      <c r="U225" s="4">
        <f t="shared" si="40"/>
        <v>0</v>
      </c>
      <c r="V225" s="4">
        <f t="shared" si="41"/>
        <v>0</v>
      </c>
      <c r="W225" s="4">
        <f t="shared" si="42"/>
        <v>1</v>
      </c>
      <c r="X225" s="4">
        <f t="shared" si="43"/>
        <v>0</v>
      </c>
      <c r="Y225" s="4">
        <f t="shared" si="37"/>
        <v>0</v>
      </c>
    </row>
    <row r="226" spans="1:25" ht="29" x14ac:dyDescent="0.35">
      <c r="A226" t="s">
        <v>577</v>
      </c>
      <c r="B226" s="3" t="s">
        <v>578</v>
      </c>
      <c r="C226" t="s">
        <v>530</v>
      </c>
      <c r="D226" t="s">
        <v>579</v>
      </c>
      <c r="E226" t="b">
        <v>1</v>
      </c>
      <c r="F226" t="b">
        <v>1</v>
      </c>
      <c r="G226" t="s">
        <v>157</v>
      </c>
      <c r="H226">
        <v>1</v>
      </c>
      <c r="I226">
        <v>0.99998790843385121</v>
      </c>
      <c r="J226" s="3" t="s">
        <v>580</v>
      </c>
      <c r="K226" s="3" t="s">
        <v>581</v>
      </c>
      <c r="L226" s="3" t="s">
        <v>581</v>
      </c>
      <c r="M226" s="3">
        <f t="shared" si="36"/>
        <v>44</v>
      </c>
      <c r="N226" s="3" t="s">
        <v>720</v>
      </c>
      <c r="O226" s="3"/>
      <c r="P226" s="3">
        <f t="shared" si="33"/>
        <v>1</v>
      </c>
      <c r="Q226" s="3">
        <f t="shared" si="34"/>
        <v>0</v>
      </c>
      <c r="R226" s="4">
        <f t="shared" si="35"/>
        <v>0</v>
      </c>
      <c r="S226" s="4">
        <f t="shared" si="38"/>
        <v>0</v>
      </c>
      <c r="T226" s="4">
        <f t="shared" si="39"/>
        <v>0</v>
      </c>
      <c r="U226" s="4">
        <f t="shared" si="40"/>
        <v>0</v>
      </c>
      <c r="V226" s="4">
        <f t="shared" si="41"/>
        <v>0</v>
      </c>
      <c r="W226" s="4">
        <f t="shared" si="42"/>
        <v>0</v>
      </c>
      <c r="X226" s="4">
        <f t="shared" si="43"/>
        <v>0</v>
      </c>
      <c r="Y226" s="4">
        <f t="shared" si="37"/>
        <v>0</v>
      </c>
    </row>
    <row r="227" spans="1:25" ht="29" x14ac:dyDescent="0.35">
      <c r="A227" t="s">
        <v>577</v>
      </c>
      <c r="B227" s="3" t="s">
        <v>578</v>
      </c>
      <c r="C227" t="s">
        <v>530</v>
      </c>
      <c r="D227" t="s">
        <v>475</v>
      </c>
      <c r="E227" t="b">
        <v>0</v>
      </c>
      <c r="F227" t="b">
        <v>1</v>
      </c>
      <c r="G227" t="s">
        <v>51</v>
      </c>
      <c r="H227">
        <v>0.9</v>
      </c>
      <c r="I227">
        <v>0.9999896534302366</v>
      </c>
      <c r="J227" s="3" t="s">
        <v>476</v>
      </c>
      <c r="K227" s="3" t="s">
        <v>476</v>
      </c>
      <c r="L227" s="3" t="s">
        <v>476</v>
      </c>
      <c r="M227" s="3">
        <f t="shared" si="36"/>
        <v>44</v>
      </c>
      <c r="N227" s="3" t="s">
        <v>703</v>
      </c>
      <c r="O227" s="3"/>
      <c r="P227" s="3">
        <f t="shared" si="33"/>
        <v>0</v>
      </c>
      <c r="Q227" s="3">
        <f t="shared" si="34"/>
        <v>1</v>
      </c>
      <c r="R227" s="4">
        <f t="shared" si="35"/>
        <v>0</v>
      </c>
      <c r="S227" s="4">
        <f t="shared" si="38"/>
        <v>1</v>
      </c>
      <c r="T227" s="4">
        <f t="shared" si="39"/>
        <v>0</v>
      </c>
      <c r="U227" s="4">
        <f t="shared" si="40"/>
        <v>0</v>
      </c>
      <c r="V227" s="4">
        <f t="shared" si="41"/>
        <v>0</v>
      </c>
      <c r="W227" s="4">
        <f t="shared" si="42"/>
        <v>0</v>
      </c>
      <c r="X227" s="4">
        <f t="shared" si="43"/>
        <v>0</v>
      </c>
      <c r="Y227" s="4">
        <f t="shared" si="37"/>
        <v>0</v>
      </c>
    </row>
    <row r="228" spans="1:25" ht="29" x14ac:dyDescent="0.35">
      <c r="A228" t="s">
        <v>577</v>
      </c>
      <c r="B228" s="3" t="s">
        <v>578</v>
      </c>
      <c r="C228" t="s">
        <v>530</v>
      </c>
      <c r="D228" t="s">
        <v>582</v>
      </c>
      <c r="E228" t="b">
        <v>1</v>
      </c>
      <c r="F228" t="b">
        <v>1</v>
      </c>
      <c r="G228" t="s">
        <v>51</v>
      </c>
      <c r="H228">
        <v>0.9</v>
      </c>
      <c r="I228">
        <v>0.99999318156899519</v>
      </c>
      <c r="J228" s="3" t="s">
        <v>583</v>
      </c>
      <c r="K228" s="3" t="s">
        <v>584</v>
      </c>
      <c r="L228" s="3" t="s">
        <v>584</v>
      </c>
      <c r="M228" s="3">
        <f t="shared" si="36"/>
        <v>44</v>
      </c>
      <c r="N228" s="3" t="s">
        <v>720</v>
      </c>
      <c r="O228" s="3"/>
      <c r="P228" s="3">
        <f t="shared" si="33"/>
        <v>1</v>
      </c>
      <c r="Q228" s="3">
        <f t="shared" si="34"/>
        <v>0</v>
      </c>
      <c r="R228" s="4">
        <f t="shared" si="35"/>
        <v>0</v>
      </c>
      <c r="S228" s="4">
        <f t="shared" si="38"/>
        <v>0</v>
      </c>
      <c r="T228" s="4">
        <f t="shared" si="39"/>
        <v>0</v>
      </c>
      <c r="U228" s="4">
        <f t="shared" si="40"/>
        <v>0</v>
      </c>
      <c r="V228" s="4">
        <f t="shared" si="41"/>
        <v>0</v>
      </c>
      <c r="W228" s="4">
        <f t="shared" si="42"/>
        <v>0</v>
      </c>
      <c r="X228" s="4">
        <f t="shared" si="43"/>
        <v>0</v>
      </c>
      <c r="Y228" s="4">
        <f t="shared" si="37"/>
        <v>0</v>
      </c>
    </row>
    <row r="229" spans="1:25" ht="29" x14ac:dyDescent="0.35">
      <c r="A229" t="s">
        <v>577</v>
      </c>
      <c r="B229" s="3" t="s">
        <v>578</v>
      </c>
      <c r="C229" t="s">
        <v>530</v>
      </c>
      <c r="D229" t="s">
        <v>585</v>
      </c>
      <c r="E229" t="b">
        <v>0</v>
      </c>
      <c r="F229" t="b">
        <v>1</v>
      </c>
      <c r="G229" t="s">
        <v>51</v>
      </c>
      <c r="H229">
        <v>0.8</v>
      </c>
      <c r="I229">
        <v>0.99999017392764278</v>
      </c>
      <c r="J229" s="3" t="s">
        <v>586</v>
      </c>
      <c r="K229" s="3" t="s">
        <v>586</v>
      </c>
      <c r="L229" s="3" t="s">
        <v>586</v>
      </c>
      <c r="M229" s="3">
        <f t="shared" si="36"/>
        <v>44</v>
      </c>
      <c r="N229" s="3" t="s">
        <v>703</v>
      </c>
      <c r="O229" s="3"/>
      <c r="P229" s="3">
        <f t="shared" si="33"/>
        <v>0</v>
      </c>
      <c r="Q229" s="3">
        <f t="shared" si="34"/>
        <v>1</v>
      </c>
      <c r="R229" s="4">
        <f t="shared" si="35"/>
        <v>0</v>
      </c>
      <c r="S229" s="4">
        <f t="shared" si="38"/>
        <v>1</v>
      </c>
      <c r="T229" s="4">
        <f t="shared" si="39"/>
        <v>0</v>
      </c>
      <c r="U229" s="4">
        <f t="shared" si="40"/>
        <v>0</v>
      </c>
      <c r="V229" s="4">
        <f t="shared" si="41"/>
        <v>0</v>
      </c>
      <c r="W229" s="4">
        <f t="shared" si="42"/>
        <v>0</v>
      </c>
      <c r="X229" s="4">
        <f t="shared" si="43"/>
        <v>0</v>
      </c>
      <c r="Y229" s="4">
        <f t="shared" si="37"/>
        <v>0</v>
      </c>
    </row>
    <row r="230" spans="1:25" ht="29" x14ac:dyDescent="0.35">
      <c r="A230" t="s">
        <v>577</v>
      </c>
      <c r="B230" s="3" t="s">
        <v>578</v>
      </c>
      <c r="C230" t="s">
        <v>530</v>
      </c>
      <c r="D230" t="s">
        <v>587</v>
      </c>
      <c r="E230" t="b">
        <v>1</v>
      </c>
      <c r="F230" t="b">
        <v>0</v>
      </c>
      <c r="J230" s="3" t="s">
        <v>588</v>
      </c>
      <c r="M230" s="3">
        <f t="shared" si="36"/>
        <v>44</v>
      </c>
      <c r="N230" s="3" t="s">
        <v>718</v>
      </c>
      <c r="O230" s="3"/>
      <c r="P230" s="3">
        <f t="shared" si="33"/>
        <v>0</v>
      </c>
      <c r="Q230" s="3">
        <f t="shared" si="34"/>
        <v>0</v>
      </c>
      <c r="R230" s="4">
        <f t="shared" si="35"/>
        <v>1</v>
      </c>
      <c r="S230" s="4">
        <f t="shared" si="38"/>
        <v>0</v>
      </c>
      <c r="T230" s="4">
        <f t="shared" si="39"/>
        <v>0</v>
      </c>
      <c r="U230" s="4">
        <f t="shared" si="40"/>
        <v>0</v>
      </c>
      <c r="V230" s="4">
        <f t="shared" si="41"/>
        <v>1</v>
      </c>
      <c r="W230" s="4">
        <f t="shared" si="42"/>
        <v>0</v>
      </c>
      <c r="X230" s="4">
        <f t="shared" si="43"/>
        <v>0</v>
      </c>
      <c r="Y230" s="4">
        <f t="shared" si="37"/>
        <v>0</v>
      </c>
    </row>
    <row r="231" spans="1:25" ht="29" x14ac:dyDescent="0.35">
      <c r="A231" t="s">
        <v>577</v>
      </c>
      <c r="B231" s="3" t="s">
        <v>578</v>
      </c>
      <c r="C231" t="s">
        <v>530</v>
      </c>
      <c r="D231" t="s">
        <v>589</v>
      </c>
      <c r="E231" t="b">
        <v>1</v>
      </c>
      <c r="F231" t="b">
        <v>0</v>
      </c>
      <c r="J231" s="3" t="s">
        <v>590</v>
      </c>
      <c r="M231" s="3">
        <f t="shared" si="36"/>
        <v>44</v>
      </c>
      <c r="N231" s="3" t="s">
        <v>718</v>
      </c>
      <c r="O231" s="3"/>
      <c r="P231" s="3">
        <f t="shared" ref="P231:P273" si="44">IF(AND(E231,F231),1,0)</f>
        <v>0</v>
      </c>
      <c r="Q231" s="3">
        <f t="shared" ref="Q231:Q273" si="45">IF(AND(NOT(E231),F231),1,0)</f>
        <v>0</v>
      </c>
      <c r="R231" s="4">
        <f t="shared" ref="R231:R273" si="46">IF(AND(E231,NOT(F231)),1,0)</f>
        <v>1</v>
      </c>
      <c r="S231" s="4">
        <f t="shared" si="38"/>
        <v>0</v>
      </c>
      <c r="T231" s="4">
        <f t="shared" si="39"/>
        <v>0</v>
      </c>
      <c r="U231" s="4">
        <f t="shared" si="40"/>
        <v>0</v>
      </c>
      <c r="V231" s="4">
        <f t="shared" si="41"/>
        <v>1</v>
      </c>
      <c r="W231" s="4">
        <f t="shared" si="42"/>
        <v>0</v>
      </c>
      <c r="X231" s="4">
        <f t="shared" si="43"/>
        <v>0</v>
      </c>
      <c r="Y231" s="4">
        <f t="shared" si="37"/>
        <v>0</v>
      </c>
    </row>
    <row r="232" spans="1:25" ht="29" x14ac:dyDescent="0.35">
      <c r="A232" t="s">
        <v>577</v>
      </c>
      <c r="B232" s="3" t="s">
        <v>578</v>
      </c>
      <c r="C232" t="s">
        <v>530</v>
      </c>
      <c r="D232" t="s">
        <v>591</v>
      </c>
      <c r="E232" t="b">
        <v>1</v>
      </c>
      <c r="F232" t="b">
        <v>0</v>
      </c>
      <c r="J232" s="3" t="s">
        <v>592</v>
      </c>
      <c r="M232" s="3">
        <f t="shared" si="36"/>
        <v>44</v>
      </c>
      <c r="N232" s="3" t="s">
        <v>718</v>
      </c>
      <c r="O232" s="3"/>
      <c r="P232" s="3">
        <f t="shared" si="44"/>
        <v>0</v>
      </c>
      <c r="Q232" s="3">
        <f t="shared" si="45"/>
        <v>0</v>
      </c>
      <c r="R232" s="4">
        <f t="shared" si="46"/>
        <v>1</v>
      </c>
      <c r="S232" s="4">
        <f t="shared" si="38"/>
        <v>0</v>
      </c>
      <c r="T232" s="4">
        <f t="shared" si="39"/>
        <v>0</v>
      </c>
      <c r="U232" s="4">
        <f t="shared" si="40"/>
        <v>0</v>
      </c>
      <c r="V232" s="4">
        <f t="shared" si="41"/>
        <v>1</v>
      </c>
      <c r="W232" s="4">
        <f t="shared" si="42"/>
        <v>0</v>
      </c>
      <c r="X232" s="4">
        <f t="shared" si="43"/>
        <v>0</v>
      </c>
      <c r="Y232" s="4">
        <f t="shared" si="37"/>
        <v>0</v>
      </c>
    </row>
    <row r="233" spans="1:25" ht="29" x14ac:dyDescent="0.35">
      <c r="A233" t="s">
        <v>577</v>
      </c>
      <c r="B233" s="3" t="s">
        <v>578</v>
      </c>
      <c r="C233" t="s">
        <v>530</v>
      </c>
      <c r="D233" t="s">
        <v>593</v>
      </c>
      <c r="E233" t="b">
        <v>1</v>
      </c>
      <c r="F233" t="b">
        <v>0</v>
      </c>
      <c r="J233" s="3" t="s">
        <v>594</v>
      </c>
      <c r="M233" s="3">
        <f t="shared" si="36"/>
        <v>44</v>
      </c>
      <c r="N233" s="3" t="s">
        <v>718</v>
      </c>
      <c r="O233" s="3"/>
      <c r="P233" s="3">
        <f t="shared" si="44"/>
        <v>0</v>
      </c>
      <c r="Q233" s="3">
        <f t="shared" si="45"/>
        <v>0</v>
      </c>
      <c r="R233" s="4">
        <f t="shared" si="46"/>
        <v>1</v>
      </c>
      <c r="S233" s="4">
        <f t="shared" si="38"/>
        <v>0</v>
      </c>
      <c r="T233" s="4">
        <f t="shared" si="39"/>
        <v>0</v>
      </c>
      <c r="U233" s="4">
        <f t="shared" si="40"/>
        <v>0</v>
      </c>
      <c r="V233" s="4">
        <f t="shared" si="41"/>
        <v>1</v>
      </c>
      <c r="W233" s="4">
        <f t="shared" si="42"/>
        <v>0</v>
      </c>
      <c r="X233" s="4">
        <f t="shared" si="43"/>
        <v>0</v>
      </c>
      <c r="Y233" s="4">
        <f t="shared" si="37"/>
        <v>0</v>
      </c>
    </row>
    <row r="234" spans="1:25" x14ac:dyDescent="0.35">
      <c r="A234" t="s">
        <v>595</v>
      </c>
      <c r="B234" s="3" t="s">
        <v>596</v>
      </c>
      <c r="C234" t="s">
        <v>597</v>
      </c>
      <c r="D234" t="s">
        <v>598</v>
      </c>
      <c r="E234" t="b">
        <v>0</v>
      </c>
      <c r="F234" t="b">
        <v>1</v>
      </c>
      <c r="G234" t="s">
        <v>157</v>
      </c>
      <c r="H234">
        <v>0.9</v>
      </c>
      <c r="I234">
        <v>0.99999175504314963</v>
      </c>
      <c r="J234" s="3" t="s">
        <v>599</v>
      </c>
      <c r="K234" s="3" t="s">
        <v>599</v>
      </c>
      <c r="L234" s="3" t="s">
        <v>599</v>
      </c>
      <c r="M234" s="3">
        <f t="shared" si="36"/>
        <v>45</v>
      </c>
      <c r="N234" s="3" t="s">
        <v>704</v>
      </c>
      <c r="O234" s="3"/>
      <c r="P234" s="3">
        <f t="shared" si="44"/>
        <v>0</v>
      </c>
      <c r="Q234" s="3">
        <f t="shared" si="45"/>
        <v>1</v>
      </c>
      <c r="R234" s="4">
        <f t="shared" si="46"/>
        <v>0</v>
      </c>
      <c r="S234" s="4">
        <f t="shared" si="38"/>
        <v>0</v>
      </c>
      <c r="T234" s="4">
        <f t="shared" si="39"/>
        <v>0</v>
      </c>
      <c r="U234" s="4">
        <f t="shared" si="40"/>
        <v>1</v>
      </c>
      <c r="V234" s="4">
        <f t="shared" si="41"/>
        <v>0</v>
      </c>
      <c r="W234" s="4">
        <f t="shared" si="42"/>
        <v>0</v>
      </c>
      <c r="X234" s="4">
        <f t="shared" si="43"/>
        <v>0</v>
      </c>
      <c r="Y234" s="4">
        <f t="shared" si="37"/>
        <v>0</v>
      </c>
    </row>
    <row r="235" spans="1:25" x14ac:dyDescent="0.35">
      <c r="A235" t="s">
        <v>595</v>
      </c>
      <c r="B235" s="3" t="s">
        <v>596</v>
      </c>
      <c r="C235" t="s">
        <v>597</v>
      </c>
      <c r="D235" t="s">
        <v>600</v>
      </c>
      <c r="E235" t="b">
        <v>1</v>
      </c>
      <c r="F235" t="b">
        <v>1</v>
      </c>
      <c r="G235" t="s">
        <v>157</v>
      </c>
      <c r="H235">
        <v>0.9</v>
      </c>
      <c r="I235">
        <v>0.9999926163838756</v>
      </c>
      <c r="J235" s="3" t="s">
        <v>601</v>
      </c>
      <c r="K235" s="3" t="s">
        <v>601</v>
      </c>
      <c r="L235" s="3" t="s">
        <v>601</v>
      </c>
      <c r="M235" s="3">
        <f t="shared" si="36"/>
        <v>45</v>
      </c>
      <c r="N235" s="3" t="s">
        <v>720</v>
      </c>
      <c r="O235" s="3"/>
      <c r="P235" s="3">
        <f t="shared" si="44"/>
        <v>1</v>
      </c>
      <c r="Q235" s="3">
        <f t="shared" si="45"/>
        <v>0</v>
      </c>
      <c r="R235" s="4">
        <f t="shared" si="46"/>
        <v>0</v>
      </c>
      <c r="S235" s="4">
        <f t="shared" si="38"/>
        <v>0</v>
      </c>
      <c r="T235" s="4">
        <f t="shared" si="39"/>
        <v>0</v>
      </c>
      <c r="U235" s="4">
        <f t="shared" si="40"/>
        <v>0</v>
      </c>
      <c r="V235" s="4">
        <f t="shared" si="41"/>
        <v>0</v>
      </c>
      <c r="W235" s="4">
        <f t="shared" si="42"/>
        <v>0</v>
      </c>
      <c r="X235" s="4">
        <f t="shared" si="43"/>
        <v>0</v>
      </c>
      <c r="Y235" s="4">
        <f t="shared" si="37"/>
        <v>0</v>
      </c>
    </row>
    <row r="236" spans="1:25" ht="29" x14ac:dyDescent="0.35">
      <c r="A236" t="s">
        <v>602</v>
      </c>
      <c r="B236" s="3" t="s">
        <v>603</v>
      </c>
      <c r="C236" t="s">
        <v>604</v>
      </c>
      <c r="D236" t="s">
        <v>605</v>
      </c>
      <c r="E236" t="b">
        <v>0</v>
      </c>
      <c r="F236" t="b">
        <v>1</v>
      </c>
      <c r="G236" t="s">
        <v>157</v>
      </c>
      <c r="H236">
        <v>0.9</v>
      </c>
      <c r="I236">
        <v>0.9999932604620464</v>
      </c>
      <c r="J236" s="3" t="s">
        <v>606</v>
      </c>
      <c r="K236" s="3" t="s">
        <v>606</v>
      </c>
      <c r="L236" s="3" t="s">
        <v>606</v>
      </c>
      <c r="M236" s="3">
        <f t="shared" si="36"/>
        <v>46</v>
      </c>
      <c r="N236" s="3" t="s">
        <v>704</v>
      </c>
      <c r="O236" s="3"/>
      <c r="P236" s="3">
        <f t="shared" si="44"/>
        <v>0</v>
      </c>
      <c r="Q236" s="3">
        <f t="shared" si="45"/>
        <v>1</v>
      </c>
      <c r="R236" s="4">
        <f t="shared" si="46"/>
        <v>0</v>
      </c>
      <c r="S236" s="4">
        <f t="shared" si="38"/>
        <v>0</v>
      </c>
      <c r="T236" s="4">
        <f t="shared" si="39"/>
        <v>0</v>
      </c>
      <c r="U236" s="4">
        <f t="shared" si="40"/>
        <v>1</v>
      </c>
      <c r="V236" s="4">
        <f t="shared" si="41"/>
        <v>0</v>
      </c>
      <c r="W236" s="4">
        <f t="shared" si="42"/>
        <v>0</v>
      </c>
      <c r="X236" s="4">
        <f t="shared" si="43"/>
        <v>0</v>
      </c>
      <c r="Y236" s="4">
        <f t="shared" si="37"/>
        <v>0</v>
      </c>
    </row>
    <row r="237" spans="1:25" ht="29" x14ac:dyDescent="0.35">
      <c r="A237" t="s">
        <v>602</v>
      </c>
      <c r="B237" s="3" t="s">
        <v>603</v>
      </c>
      <c r="C237" t="s">
        <v>604</v>
      </c>
      <c r="D237" t="s">
        <v>607</v>
      </c>
      <c r="E237" t="b">
        <v>1</v>
      </c>
      <c r="F237" t="b">
        <v>1</v>
      </c>
      <c r="G237" t="s">
        <v>157</v>
      </c>
      <c r="H237">
        <v>0.9</v>
      </c>
      <c r="I237">
        <v>0.89561101046028468</v>
      </c>
      <c r="J237" s="3" t="s">
        <v>608</v>
      </c>
      <c r="K237" s="3" t="s">
        <v>609</v>
      </c>
      <c r="L237" s="3" t="s">
        <v>610</v>
      </c>
      <c r="M237" s="3">
        <f t="shared" si="36"/>
        <v>46</v>
      </c>
      <c r="N237" s="3" t="s">
        <v>720</v>
      </c>
      <c r="O237" s="3"/>
      <c r="P237" s="3">
        <f t="shared" si="44"/>
        <v>1</v>
      </c>
      <c r="Q237" s="3">
        <f t="shared" si="45"/>
        <v>0</v>
      </c>
      <c r="R237" s="4">
        <f t="shared" si="46"/>
        <v>0</v>
      </c>
      <c r="S237" s="4">
        <f t="shared" si="38"/>
        <v>0</v>
      </c>
      <c r="T237" s="4">
        <f t="shared" si="39"/>
        <v>0</v>
      </c>
      <c r="U237" s="4">
        <f t="shared" si="40"/>
        <v>0</v>
      </c>
      <c r="V237" s="4">
        <f t="shared" si="41"/>
        <v>0</v>
      </c>
      <c r="W237" s="4">
        <f t="shared" si="42"/>
        <v>0</v>
      </c>
      <c r="X237" s="4">
        <f t="shared" si="43"/>
        <v>0</v>
      </c>
      <c r="Y237" s="4">
        <f t="shared" si="37"/>
        <v>0</v>
      </c>
    </row>
    <row r="238" spans="1:25" ht="29" x14ac:dyDescent="0.35">
      <c r="A238" t="s">
        <v>602</v>
      </c>
      <c r="B238" s="3" t="s">
        <v>603</v>
      </c>
      <c r="C238" t="s">
        <v>604</v>
      </c>
      <c r="D238" t="s">
        <v>611</v>
      </c>
      <c r="E238" t="b">
        <v>0</v>
      </c>
      <c r="F238" t="b">
        <v>1</v>
      </c>
      <c r="G238" t="s">
        <v>51</v>
      </c>
      <c r="H238">
        <v>0.8</v>
      </c>
      <c r="I238">
        <v>0.74996167984805218</v>
      </c>
      <c r="J238" s="3" t="s">
        <v>612</v>
      </c>
      <c r="K238" s="3" t="s">
        <v>613</v>
      </c>
      <c r="L238" s="3" t="s">
        <v>614</v>
      </c>
      <c r="M238" s="3">
        <f t="shared" si="36"/>
        <v>46</v>
      </c>
      <c r="N238" s="3" t="s">
        <v>703</v>
      </c>
      <c r="O238" s="3" t="s">
        <v>712</v>
      </c>
      <c r="P238" s="3">
        <f t="shared" si="44"/>
        <v>0</v>
      </c>
      <c r="Q238" s="3">
        <f t="shared" si="45"/>
        <v>1</v>
      </c>
      <c r="R238" s="4">
        <f t="shared" si="46"/>
        <v>0</v>
      </c>
      <c r="S238" s="4">
        <f t="shared" si="38"/>
        <v>1</v>
      </c>
      <c r="T238" s="4">
        <f t="shared" si="39"/>
        <v>0</v>
      </c>
      <c r="U238" s="4">
        <f t="shared" si="40"/>
        <v>0</v>
      </c>
      <c r="V238" s="4">
        <f t="shared" si="41"/>
        <v>0</v>
      </c>
      <c r="W238" s="4">
        <f t="shared" si="42"/>
        <v>0</v>
      </c>
      <c r="X238" s="4">
        <f t="shared" si="43"/>
        <v>1</v>
      </c>
      <c r="Y238" s="4">
        <f t="shared" si="37"/>
        <v>0</v>
      </c>
    </row>
    <row r="239" spans="1:25" ht="29" x14ac:dyDescent="0.35">
      <c r="A239" t="s">
        <v>602</v>
      </c>
      <c r="B239" s="3" t="s">
        <v>603</v>
      </c>
      <c r="C239" t="s">
        <v>604</v>
      </c>
      <c r="D239" t="s">
        <v>615</v>
      </c>
      <c r="E239" t="b">
        <v>0</v>
      </c>
      <c r="F239" t="b">
        <v>1</v>
      </c>
      <c r="G239" t="s">
        <v>51</v>
      </c>
      <c r="H239">
        <v>0.2</v>
      </c>
      <c r="I239">
        <v>0.78075859103438705</v>
      </c>
      <c r="J239" s="3" t="s">
        <v>616</v>
      </c>
      <c r="K239" s="3" t="s">
        <v>616</v>
      </c>
      <c r="L239" s="3" t="s">
        <v>617</v>
      </c>
      <c r="M239" s="3">
        <f t="shared" si="36"/>
        <v>46</v>
      </c>
      <c r="N239" s="3" t="s">
        <v>703</v>
      </c>
      <c r="O239" s="3" t="s">
        <v>712</v>
      </c>
      <c r="P239" s="3">
        <f t="shared" si="44"/>
        <v>0</v>
      </c>
      <c r="Q239" s="3">
        <f t="shared" si="45"/>
        <v>1</v>
      </c>
      <c r="R239" s="4">
        <f t="shared" si="46"/>
        <v>0</v>
      </c>
      <c r="S239" s="4">
        <f t="shared" si="38"/>
        <v>1</v>
      </c>
      <c r="T239" s="4">
        <f t="shared" si="39"/>
        <v>0</v>
      </c>
      <c r="U239" s="4">
        <f t="shared" si="40"/>
        <v>0</v>
      </c>
      <c r="V239" s="4">
        <f t="shared" si="41"/>
        <v>0</v>
      </c>
      <c r="W239" s="4">
        <f t="shared" si="42"/>
        <v>0</v>
      </c>
      <c r="X239" s="4">
        <f t="shared" si="43"/>
        <v>1</v>
      </c>
      <c r="Y239" s="4">
        <f t="shared" si="37"/>
        <v>0</v>
      </c>
    </row>
    <row r="240" spans="1:25" ht="29" x14ac:dyDescent="0.35">
      <c r="A240" t="s">
        <v>602</v>
      </c>
      <c r="B240" s="3" t="s">
        <v>603</v>
      </c>
      <c r="C240" t="s">
        <v>604</v>
      </c>
      <c r="D240" t="s">
        <v>618</v>
      </c>
      <c r="E240" t="b">
        <v>1</v>
      </c>
      <c r="F240" t="b">
        <v>0</v>
      </c>
      <c r="J240" s="3" t="s">
        <v>619</v>
      </c>
      <c r="M240" s="3">
        <f t="shared" si="36"/>
        <v>46</v>
      </c>
      <c r="N240" s="3" t="s">
        <v>718</v>
      </c>
      <c r="O240" s="3"/>
      <c r="P240" s="3">
        <f t="shared" si="44"/>
        <v>0</v>
      </c>
      <c r="Q240" s="3">
        <f t="shared" si="45"/>
        <v>0</v>
      </c>
      <c r="R240" s="4">
        <f t="shared" si="46"/>
        <v>1</v>
      </c>
      <c r="S240" s="4">
        <f t="shared" si="38"/>
        <v>0</v>
      </c>
      <c r="T240" s="4">
        <f t="shared" si="39"/>
        <v>0</v>
      </c>
      <c r="U240" s="4">
        <f t="shared" si="40"/>
        <v>0</v>
      </c>
      <c r="V240" s="4">
        <f t="shared" si="41"/>
        <v>1</v>
      </c>
      <c r="W240" s="4">
        <f t="shared" si="42"/>
        <v>0</v>
      </c>
      <c r="X240" s="4">
        <f t="shared" si="43"/>
        <v>0</v>
      </c>
      <c r="Y240" s="4">
        <f t="shared" si="37"/>
        <v>0</v>
      </c>
    </row>
    <row r="241" spans="1:25" ht="29" x14ac:dyDescent="0.35">
      <c r="A241" t="s">
        <v>602</v>
      </c>
      <c r="B241" s="3" t="s">
        <v>603</v>
      </c>
      <c r="C241" t="s">
        <v>604</v>
      </c>
      <c r="D241" t="s">
        <v>620</v>
      </c>
      <c r="E241" t="b">
        <v>1</v>
      </c>
      <c r="F241" t="b">
        <v>0</v>
      </c>
      <c r="J241" s="3" t="s">
        <v>621</v>
      </c>
      <c r="M241" s="3">
        <f t="shared" si="36"/>
        <v>46</v>
      </c>
      <c r="N241" s="3" t="s">
        <v>718</v>
      </c>
      <c r="O241" s="3"/>
      <c r="P241" s="3">
        <f t="shared" si="44"/>
        <v>0</v>
      </c>
      <c r="Q241" s="3">
        <f t="shared" si="45"/>
        <v>0</v>
      </c>
      <c r="R241" s="4">
        <f t="shared" si="46"/>
        <v>1</v>
      </c>
      <c r="S241" s="4">
        <f t="shared" si="38"/>
        <v>0</v>
      </c>
      <c r="T241" s="4">
        <f t="shared" si="39"/>
        <v>0</v>
      </c>
      <c r="U241" s="4">
        <f t="shared" si="40"/>
        <v>0</v>
      </c>
      <c r="V241" s="4">
        <f t="shared" si="41"/>
        <v>1</v>
      </c>
      <c r="W241" s="4">
        <f t="shared" si="42"/>
        <v>0</v>
      </c>
      <c r="X241" s="4">
        <f t="shared" si="43"/>
        <v>0</v>
      </c>
      <c r="Y241" s="4">
        <f t="shared" si="37"/>
        <v>0</v>
      </c>
    </row>
    <row r="242" spans="1:25" ht="29" x14ac:dyDescent="0.35">
      <c r="A242" t="s">
        <v>602</v>
      </c>
      <c r="B242" s="3" t="s">
        <v>603</v>
      </c>
      <c r="C242" t="s">
        <v>604</v>
      </c>
      <c r="D242" t="s">
        <v>622</v>
      </c>
      <c r="E242" t="b">
        <v>1</v>
      </c>
      <c r="F242" t="b">
        <v>0</v>
      </c>
      <c r="J242" s="3" t="s">
        <v>623</v>
      </c>
      <c r="M242" s="3">
        <f t="shared" si="36"/>
        <v>46</v>
      </c>
      <c r="N242" s="3" t="s">
        <v>718</v>
      </c>
      <c r="O242" s="3"/>
      <c r="P242" s="3">
        <f t="shared" si="44"/>
        <v>0</v>
      </c>
      <c r="Q242" s="3">
        <f t="shared" si="45"/>
        <v>0</v>
      </c>
      <c r="R242" s="4">
        <f t="shared" si="46"/>
        <v>1</v>
      </c>
      <c r="S242" s="4">
        <f t="shared" si="38"/>
        <v>0</v>
      </c>
      <c r="T242" s="4">
        <f t="shared" si="39"/>
        <v>0</v>
      </c>
      <c r="U242" s="4">
        <f t="shared" si="40"/>
        <v>0</v>
      </c>
      <c r="V242" s="4">
        <f t="shared" si="41"/>
        <v>1</v>
      </c>
      <c r="W242" s="4">
        <f t="shared" si="42"/>
        <v>0</v>
      </c>
      <c r="X242" s="4">
        <f t="shared" si="43"/>
        <v>0</v>
      </c>
      <c r="Y242" s="4">
        <f t="shared" si="37"/>
        <v>0</v>
      </c>
    </row>
    <row r="243" spans="1:25" ht="29" x14ac:dyDescent="0.35">
      <c r="A243" t="s">
        <v>602</v>
      </c>
      <c r="B243" s="3" t="s">
        <v>603</v>
      </c>
      <c r="C243" t="s">
        <v>604</v>
      </c>
      <c r="D243" t="s">
        <v>624</v>
      </c>
      <c r="E243" t="b">
        <v>1</v>
      </c>
      <c r="F243" t="b">
        <v>0</v>
      </c>
      <c r="J243" s="3" t="s">
        <v>625</v>
      </c>
      <c r="M243" s="3">
        <f t="shared" si="36"/>
        <v>46</v>
      </c>
      <c r="N243" s="3" t="s">
        <v>718</v>
      </c>
      <c r="O243" s="3"/>
      <c r="P243" s="3">
        <f t="shared" si="44"/>
        <v>0</v>
      </c>
      <c r="Q243" s="3">
        <f t="shared" si="45"/>
        <v>0</v>
      </c>
      <c r="R243" s="4">
        <f t="shared" si="46"/>
        <v>1</v>
      </c>
      <c r="S243" s="4">
        <f t="shared" si="38"/>
        <v>0</v>
      </c>
      <c r="T243" s="4">
        <f t="shared" si="39"/>
        <v>0</v>
      </c>
      <c r="U243" s="4">
        <f t="shared" si="40"/>
        <v>0</v>
      </c>
      <c r="V243" s="4">
        <f t="shared" si="41"/>
        <v>1</v>
      </c>
      <c r="W243" s="4">
        <f t="shared" si="42"/>
        <v>0</v>
      </c>
      <c r="X243" s="4">
        <f t="shared" si="43"/>
        <v>0</v>
      </c>
      <c r="Y243" s="4">
        <f t="shared" si="37"/>
        <v>0</v>
      </c>
    </row>
    <row r="244" spans="1:25" ht="29" x14ac:dyDescent="0.35">
      <c r="A244" t="s">
        <v>602</v>
      </c>
      <c r="B244" s="3" t="s">
        <v>603</v>
      </c>
      <c r="C244" t="s">
        <v>604</v>
      </c>
      <c r="D244" t="s">
        <v>626</v>
      </c>
      <c r="E244" t="b">
        <v>1</v>
      </c>
      <c r="F244" t="b">
        <v>0</v>
      </c>
      <c r="J244" s="3" t="s">
        <v>627</v>
      </c>
      <c r="M244" s="3">
        <f t="shared" si="36"/>
        <v>46</v>
      </c>
      <c r="N244" s="3" t="s">
        <v>718</v>
      </c>
      <c r="O244" s="3"/>
      <c r="P244" s="3">
        <f t="shared" si="44"/>
        <v>0</v>
      </c>
      <c r="Q244" s="3">
        <f t="shared" si="45"/>
        <v>0</v>
      </c>
      <c r="R244" s="4">
        <f t="shared" si="46"/>
        <v>1</v>
      </c>
      <c r="S244" s="4">
        <f t="shared" si="38"/>
        <v>0</v>
      </c>
      <c r="T244" s="4">
        <f t="shared" si="39"/>
        <v>0</v>
      </c>
      <c r="U244" s="4">
        <f t="shared" si="40"/>
        <v>0</v>
      </c>
      <c r="V244" s="4">
        <f t="shared" si="41"/>
        <v>1</v>
      </c>
      <c r="W244" s="4">
        <f t="shared" si="42"/>
        <v>0</v>
      </c>
      <c r="X244" s="4">
        <f t="shared" si="43"/>
        <v>0</v>
      </c>
      <c r="Y244" s="4">
        <f t="shared" si="37"/>
        <v>0</v>
      </c>
    </row>
    <row r="245" spans="1:25" ht="58" x14ac:dyDescent="0.35">
      <c r="A245" t="s">
        <v>628</v>
      </c>
      <c r="B245" s="3" t="s">
        <v>629</v>
      </c>
      <c r="C245" t="s">
        <v>630</v>
      </c>
      <c r="D245" t="s">
        <v>631</v>
      </c>
      <c r="E245" t="b">
        <v>1</v>
      </c>
      <c r="F245" t="b">
        <v>1</v>
      </c>
      <c r="G245" t="s">
        <v>157</v>
      </c>
      <c r="H245">
        <v>0.9</v>
      </c>
      <c r="I245">
        <v>0.99999134649245358</v>
      </c>
      <c r="J245" s="3" t="s">
        <v>632</v>
      </c>
      <c r="K245" s="3" t="s">
        <v>632</v>
      </c>
      <c r="L245" s="3" t="s">
        <v>632</v>
      </c>
      <c r="M245" s="3">
        <f t="shared" si="36"/>
        <v>47</v>
      </c>
      <c r="N245" s="3" t="s">
        <v>720</v>
      </c>
      <c r="O245" s="3"/>
      <c r="P245" s="3">
        <f t="shared" si="44"/>
        <v>1</v>
      </c>
      <c r="Q245" s="3">
        <f t="shared" si="45"/>
        <v>0</v>
      </c>
      <c r="R245" s="4">
        <f t="shared" si="46"/>
        <v>0</v>
      </c>
      <c r="S245" s="4">
        <f t="shared" si="38"/>
        <v>0</v>
      </c>
      <c r="T245" s="4">
        <f t="shared" si="39"/>
        <v>0</v>
      </c>
      <c r="U245" s="4">
        <f t="shared" si="40"/>
        <v>0</v>
      </c>
      <c r="V245" s="4">
        <f t="shared" si="41"/>
        <v>0</v>
      </c>
      <c r="W245" s="4">
        <f t="shared" si="42"/>
        <v>0</v>
      </c>
      <c r="X245" s="4">
        <f t="shared" si="43"/>
        <v>0</v>
      </c>
      <c r="Y245" s="4">
        <f t="shared" si="37"/>
        <v>0</v>
      </c>
    </row>
    <row r="246" spans="1:25" ht="58" x14ac:dyDescent="0.35">
      <c r="A246" t="s">
        <v>628</v>
      </c>
      <c r="B246" s="3" t="s">
        <v>629</v>
      </c>
      <c r="C246" t="s">
        <v>630</v>
      </c>
      <c r="D246" t="s">
        <v>633</v>
      </c>
      <c r="E246" t="b">
        <v>1</v>
      </c>
      <c r="F246" t="b">
        <v>1</v>
      </c>
      <c r="G246" t="s">
        <v>157</v>
      </c>
      <c r="H246">
        <v>0.9</v>
      </c>
      <c r="I246">
        <v>0.99999006827305315</v>
      </c>
      <c r="J246" s="3" t="s">
        <v>634</v>
      </c>
      <c r="K246" s="3" t="s">
        <v>634</v>
      </c>
      <c r="L246" s="3" t="s">
        <v>634</v>
      </c>
      <c r="M246" s="3">
        <f t="shared" si="36"/>
        <v>47</v>
      </c>
      <c r="N246" s="3" t="s">
        <v>720</v>
      </c>
      <c r="O246" s="3"/>
      <c r="P246" s="3">
        <f t="shared" si="44"/>
        <v>1</v>
      </c>
      <c r="Q246" s="3">
        <f t="shared" si="45"/>
        <v>0</v>
      </c>
      <c r="R246" s="4">
        <f t="shared" si="46"/>
        <v>0</v>
      </c>
      <c r="S246" s="4">
        <f t="shared" si="38"/>
        <v>0</v>
      </c>
      <c r="T246" s="4">
        <f t="shared" si="39"/>
        <v>0</v>
      </c>
      <c r="U246" s="4">
        <f t="shared" si="40"/>
        <v>0</v>
      </c>
      <c r="V246" s="4">
        <f t="shared" si="41"/>
        <v>0</v>
      </c>
      <c r="W246" s="4">
        <f t="shared" si="42"/>
        <v>0</v>
      </c>
      <c r="X246" s="4">
        <f t="shared" si="43"/>
        <v>0</v>
      </c>
      <c r="Y246" s="4">
        <f t="shared" si="37"/>
        <v>0</v>
      </c>
    </row>
    <row r="247" spans="1:25" ht="101.5" x14ac:dyDescent="0.35">
      <c r="A247" t="s">
        <v>635</v>
      </c>
      <c r="B247" s="3" t="s">
        <v>636</v>
      </c>
      <c r="C247" t="s">
        <v>637</v>
      </c>
      <c r="D247" t="s">
        <v>638</v>
      </c>
      <c r="E247" t="b">
        <v>1</v>
      </c>
      <c r="F247" t="b">
        <v>1</v>
      </c>
      <c r="G247" t="s">
        <v>51</v>
      </c>
      <c r="H247">
        <v>1</v>
      </c>
      <c r="I247">
        <v>0.99999251466845784</v>
      </c>
      <c r="J247" s="3" t="s">
        <v>639</v>
      </c>
      <c r="K247" s="3" t="s">
        <v>639</v>
      </c>
      <c r="L247" s="3" t="s">
        <v>639</v>
      </c>
      <c r="M247" s="3">
        <f t="shared" si="36"/>
        <v>48</v>
      </c>
      <c r="N247" s="3" t="s">
        <v>720</v>
      </c>
      <c r="O247" s="3"/>
      <c r="P247" s="3">
        <f t="shared" si="44"/>
        <v>1</v>
      </c>
      <c r="Q247" s="3">
        <f t="shared" si="45"/>
        <v>0</v>
      </c>
      <c r="R247" s="4">
        <f t="shared" si="46"/>
        <v>0</v>
      </c>
      <c r="S247" s="4">
        <f t="shared" si="38"/>
        <v>0</v>
      </c>
      <c r="T247" s="4">
        <f t="shared" si="39"/>
        <v>0</v>
      </c>
      <c r="U247" s="4">
        <f t="shared" si="40"/>
        <v>0</v>
      </c>
      <c r="V247" s="4">
        <f t="shared" si="41"/>
        <v>0</v>
      </c>
      <c r="W247" s="4">
        <f t="shared" si="42"/>
        <v>0</v>
      </c>
      <c r="X247" s="4">
        <f t="shared" si="43"/>
        <v>0</v>
      </c>
      <c r="Y247" s="4">
        <f t="shared" si="37"/>
        <v>0</v>
      </c>
    </row>
    <row r="248" spans="1:25" ht="101.5" x14ac:dyDescent="0.35">
      <c r="A248" t="s">
        <v>635</v>
      </c>
      <c r="B248" s="3" t="s">
        <v>636</v>
      </c>
      <c r="C248" t="s">
        <v>637</v>
      </c>
      <c r="D248" t="s">
        <v>640</v>
      </c>
      <c r="E248" t="b">
        <v>1</v>
      </c>
      <c r="F248" t="b">
        <v>1</v>
      </c>
      <c r="G248" t="s">
        <v>157</v>
      </c>
      <c r="H248">
        <v>0.9</v>
      </c>
      <c r="I248">
        <v>0.99999147512174857</v>
      </c>
      <c r="J248" s="3" t="s">
        <v>641</v>
      </c>
      <c r="K248" s="3" t="s">
        <v>642</v>
      </c>
      <c r="L248" s="3" t="s">
        <v>642</v>
      </c>
      <c r="M248" s="3">
        <f t="shared" si="36"/>
        <v>48</v>
      </c>
      <c r="N248" s="3" t="s">
        <v>720</v>
      </c>
      <c r="O248" s="3"/>
      <c r="P248" s="3">
        <f t="shared" si="44"/>
        <v>1</v>
      </c>
      <c r="Q248" s="3">
        <f t="shared" si="45"/>
        <v>0</v>
      </c>
      <c r="R248" s="4">
        <f t="shared" si="46"/>
        <v>0</v>
      </c>
      <c r="S248" s="4">
        <f t="shared" si="38"/>
        <v>0</v>
      </c>
      <c r="T248" s="4">
        <f t="shared" si="39"/>
        <v>0</v>
      </c>
      <c r="U248" s="4">
        <f t="shared" si="40"/>
        <v>0</v>
      </c>
      <c r="V248" s="4">
        <f t="shared" si="41"/>
        <v>0</v>
      </c>
      <c r="W248" s="4">
        <f t="shared" si="42"/>
        <v>0</v>
      </c>
      <c r="X248" s="4">
        <f t="shared" si="43"/>
        <v>0</v>
      </c>
      <c r="Y248" s="4">
        <f t="shared" si="37"/>
        <v>0</v>
      </c>
    </row>
    <row r="249" spans="1:25" ht="101.5" x14ac:dyDescent="0.35">
      <c r="A249" t="s">
        <v>635</v>
      </c>
      <c r="B249" s="3" t="s">
        <v>636</v>
      </c>
      <c r="C249" t="s">
        <v>637</v>
      </c>
      <c r="D249" t="s">
        <v>643</v>
      </c>
      <c r="E249" t="b">
        <v>1</v>
      </c>
      <c r="F249" t="b">
        <v>1</v>
      </c>
      <c r="G249" t="s">
        <v>157</v>
      </c>
      <c r="H249">
        <v>0.9</v>
      </c>
      <c r="I249">
        <v>0.99998880491617781</v>
      </c>
      <c r="J249" s="3" t="s">
        <v>644</v>
      </c>
      <c r="K249" s="3" t="s">
        <v>644</v>
      </c>
      <c r="L249" s="3" t="s">
        <v>644</v>
      </c>
      <c r="M249" s="3">
        <f t="shared" si="36"/>
        <v>48</v>
      </c>
      <c r="N249" s="3" t="s">
        <v>720</v>
      </c>
      <c r="O249" s="3"/>
      <c r="P249" s="3">
        <f t="shared" si="44"/>
        <v>1</v>
      </c>
      <c r="Q249" s="3">
        <f t="shared" si="45"/>
        <v>0</v>
      </c>
      <c r="R249" s="4">
        <f t="shared" si="46"/>
        <v>0</v>
      </c>
      <c r="S249" s="4">
        <f t="shared" si="38"/>
        <v>0</v>
      </c>
      <c r="T249" s="4">
        <f t="shared" si="39"/>
        <v>0</v>
      </c>
      <c r="U249" s="4">
        <f t="shared" si="40"/>
        <v>0</v>
      </c>
      <c r="V249" s="4">
        <f t="shared" si="41"/>
        <v>0</v>
      </c>
      <c r="W249" s="4">
        <f t="shared" si="42"/>
        <v>0</v>
      </c>
      <c r="X249" s="4">
        <f t="shared" si="43"/>
        <v>0</v>
      </c>
      <c r="Y249" s="4">
        <f t="shared" si="37"/>
        <v>0</v>
      </c>
    </row>
    <row r="250" spans="1:25" ht="101.5" x14ac:dyDescent="0.35">
      <c r="A250" t="s">
        <v>635</v>
      </c>
      <c r="B250" s="3" t="s">
        <v>636</v>
      </c>
      <c r="C250" t="s">
        <v>637</v>
      </c>
      <c r="D250" t="s">
        <v>645</v>
      </c>
      <c r="E250" t="b">
        <v>0</v>
      </c>
      <c r="F250" t="b">
        <v>1</v>
      </c>
      <c r="G250" t="s">
        <v>157</v>
      </c>
      <c r="H250">
        <v>0.9</v>
      </c>
      <c r="I250">
        <v>0.99999449367610915</v>
      </c>
      <c r="J250" s="3" t="s">
        <v>646</v>
      </c>
      <c r="K250" s="3" t="s">
        <v>646</v>
      </c>
      <c r="L250" s="3" t="s">
        <v>646</v>
      </c>
      <c r="M250" s="3">
        <f t="shared" si="36"/>
        <v>48</v>
      </c>
      <c r="N250" s="3" t="s">
        <v>704</v>
      </c>
      <c r="O250" s="3"/>
      <c r="P250" s="3">
        <f t="shared" si="44"/>
        <v>0</v>
      </c>
      <c r="Q250" s="3">
        <f t="shared" si="45"/>
        <v>1</v>
      </c>
      <c r="R250" s="4">
        <f t="shared" si="46"/>
        <v>0</v>
      </c>
      <c r="S250" s="4">
        <f t="shared" si="38"/>
        <v>0</v>
      </c>
      <c r="T250" s="4">
        <f t="shared" si="39"/>
        <v>0</v>
      </c>
      <c r="U250" s="4">
        <f t="shared" si="40"/>
        <v>1</v>
      </c>
      <c r="V250" s="4">
        <f t="shared" si="41"/>
        <v>0</v>
      </c>
      <c r="W250" s="4">
        <f t="shared" si="42"/>
        <v>0</v>
      </c>
      <c r="X250" s="4">
        <f t="shared" si="43"/>
        <v>0</v>
      </c>
      <c r="Y250" s="4">
        <f t="shared" si="37"/>
        <v>0</v>
      </c>
    </row>
    <row r="251" spans="1:25" ht="101.5" x14ac:dyDescent="0.35">
      <c r="A251" t="s">
        <v>635</v>
      </c>
      <c r="B251" s="3" t="s">
        <v>636</v>
      </c>
      <c r="C251" t="s">
        <v>637</v>
      </c>
      <c r="D251" t="s">
        <v>647</v>
      </c>
      <c r="E251" t="b">
        <v>0</v>
      </c>
      <c r="F251" t="b">
        <v>1</v>
      </c>
      <c r="G251" t="s">
        <v>157</v>
      </c>
      <c r="H251">
        <v>0.8</v>
      </c>
      <c r="I251">
        <v>0.99999222391311038</v>
      </c>
      <c r="J251" s="3" t="s">
        <v>648</v>
      </c>
      <c r="K251" s="3" t="s">
        <v>648</v>
      </c>
      <c r="L251" s="3" t="s">
        <v>648</v>
      </c>
      <c r="M251" s="3">
        <f t="shared" si="36"/>
        <v>48</v>
      </c>
      <c r="N251" s="3" t="s">
        <v>704</v>
      </c>
      <c r="O251" s="3"/>
      <c r="P251" s="3">
        <f t="shared" si="44"/>
        <v>0</v>
      </c>
      <c r="Q251" s="3">
        <f t="shared" si="45"/>
        <v>1</v>
      </c>
      <c r="R251" s="4">
        <f t="shared" si="46"/>
        <v>0</v>
      </c>
      <c r="S251" s="4">
        <f t="shared" si="38"/>
        <v>0</v>
      </c>
      <c r="T251" s="4">
        <f t="shared" si="39"/>
        <v>0</v>
      </c>
      <c r="U251" s="4">
        <f t="shared" si="40"/>
        <v>1</v>
      </c>
      <c r="V251" s="4">
        <f t="shared" si="41"/>
        <v>0</v>
      </c>
      <c r="W251" s="4">
        <f t="shared" si="42"/>
        <v>0</v>
      </c>
      <c r="X251" s="4">
        <f t="shared" si="43"/>
        <v>0</v>
      </c>
      <c r="Y251" s="4">
        <f t="shared" si="37"/>
        <v>0</v>
      </c>
    </row>
    <row r="252" spans="1:25" ht="101.5" x14ac:dyDescent="0.35">
      <c r="A252" t="s">
        <v>635</v>
      </c>
      <c r="B252" s="3" t="s">
        <v>636</v>
      </c>
      <c r="C252" t="s">
        <v>637</v>
      </c>
      <c r="D252" t="s">
        <v>649</v>
      </c>
      <c r="E252" t="b">
        <v>1</v>
      </c>
      <c r="F252" t="b">
        <v>0</v>
      </c>
      <c r="J252" s="3" t="s">
        <v>650</v>
      </c>
      <c r="M252" s="3">
        <f t="shared" si="36"/>
        <v>48</v>
      </c>
      <c r="N252" s="3" t="s">
        <v>718</v>
      </c>
      <c r="O252" s="3"/>
      <c r="P252" s="3">
        <f t="shared" si="44"/>
        <v>0</v>
      </c>
      <c r="Q252" s="3">
        <f t="shared" si="45"/>
        <v>0</v>
      </c>
      <c r="R252" s="4">
        <f t="shared" si="46"/>
        <v>1</v>
      </c>
      <c r="S252" s="4">
        <f t="shared" si="38"/>
        <v>0</v>
      </c>
      <c r="T252" s="4">
        <f t="shared" si="39"/>
        <v>0</v>
      </c>
      <c r="U252" s="4">
        <f t="shared" si="40"/>
        <v>0</v>
      </c>
      <c r="V252" s="4">
        <f t="shared" si="41"/>
        <v>1</v>
      </c>
      <c r="W252" s="4">
        <f t="shared" si="42"/>
        <v>0</v>
      </c>
      <c r="X252" s="4">
        <f t="shared" si="43"/>
        <v>0</v>
      </c>
      <c r="Y252" s="4">
        <f t="shared" si="37"/>
        <v>0</v>
      </c>
    </row>
    <row r="253" spans="1:25" ht="101.5" x14ac:dyDescent="0.35">
      <c r="A253" t="s">
        <v>635</v>
      </c>
      <c r="B253" s="3" t="s">
        <v>636</v>
      </c>
      <c r="C253" t="s">
        <v>637</v>
      </c>
      <c r="D253" t="s">
        <v>651</v>
      </c>
      <c r="E253" t="b">
        <v>1</v>
      </c>
      <c r="F253" t="b">
        <v>0</v>
      </c>
      <c r="J253" s="3" t="s">
        <v>652</v>
      </c>
      <c r="M253" s="3">
        <f t="shared" si="36"/>
        <v>48</v>
      </c>
      <c r="N253" s="3" t="s">
        <v>718</v>
      </c>
      <c r="O253" s="3"/>
      <c r="P253" s="3">
        <f t="shared" si="44"/>
        <v>0</v>
      </c>
      <c r="Q253" s="3">
        <f t="shared" si="45"/>
        <v>0</v>
      </c>
      <c r="R253" s="4">
        <f t="shared" si="46"/>
        <v>1</v>
      </c>
      <c r="S253" s="4">
        <f t="shared" si="38"/>
        <v>0</v>
      </c>
      <c r="T253" s="4">
        <f t="shared" si="39"/>
        <v>0</v>
      </c>
      <c r="U253" s="4">
        <f t="shared" si="40"/>
        <v>0</v>
      </c>
      <c r="V253" s="4">
        <f t="shared" si="41"/>
        <v>1</v>
      </c>
      <c r="W253" s="4">
        <f t="shared" si="42"/>
        <v>0</v>
      </c>
      <c r="X253" s="4">
        <f t="shared" si="43"/>
        <v>0</v>
      </c>
      <c r="Y253" s="4">
        <f t="shared" si="37"/>
        <v>0</v>
      </c>
    </row>
    <row r="254" spans="1:25" ht="101.5" x14ac:dyDescent="0.35">
      <c r="A254" t="s">
        <v>635</v>
      </c>
      <c r="B254" s="3" t="s">
        <v>636</v>
      </c>
      <c r="C254" t="s">
        <v>637</v>
      </c>
      <c r="D254" t="s">
        <v>653</v>
      </c>
      <c r="E254" t="b">
        <v>1</v>
      </c>
      <c r="F254" t="b">
        <v>0</v>
      </c>
      <c r="J254" s="3" t="s">
        <v>654</v>
      </c>
      <c r="M254" s="3">
        <f t="shared" si="36"/>
        <v>48</v>
      </c>
      <c r="N254" s="3" t="s">
        <v>718</v>
      </c>
      <c r="O254" s="3"/>
      <c r="P254" s="3">
        <f t="shared" si="44"/>
        <v>0</v>
      </c>
      <c r="Q254" s="3">
        <f t="shared" si="45"/>
        <v>0</v>
      </c>
      <c r="R254" s="4">
        <f t="shared" si="46"/>
        <v>1</v>
      </c>
      <c r="S254" s="4">
        <f t="shared" si="38"/>
        <v>0</v>
      </c>
      <c r="T254" s="4">
        <f t="shared" si="39"/>
        <v>0</v>
      </c>
      <c r="U254" s="4">
        <f t="shared" si="40"/>
        <v>0</v>
      </c>
      <c r="V254" s="4">
        <f t="shared" si="41"/>
        <v>1</v>
      </c>
      <c r="W254" s="4">
        <f t="shared" si="42"/>
        <v>0</v>
      </c>
      <c r="X254" s="4">
        <f t="shared" si="43"/>
        <v>0</v>
      </c>
      <c r="Y254" s="4">
        <f t="shared" si="37"/>
        <v>0</v>
      </c>
    </row>
    <row r="255" spans="1:25" ht="101.5" x14ac:dyDescent="0.35">
      <c r="A255" t="s">
        <v>635</v>
      </c>
      <c r="B255" s="3" t="s">
        <v>636</v>
      </c>
      <c r="C255" t="s">
        <v>637</v>
      </c>
      <c r="D255" t="s">
        <v>655</v>
      </c>
      <c r="E255" t="b">
        <v>1</v>
      </c>
      <c r="F255" t="b">
        <v>0</v>
      </c>
      <c r="J255" s="3" t="s">
        <v>656</v>
      </c>
      <c r="M255" s="3">
        <f t="shared" si="36"/>
        <v>48</v>
      </c>
      <c r="N255" s="3" t="s">
        <v>718</v>
      </c>
      <c r="O255" s="3"/>
      <c r="P255" s="3">
        <f t="shared" si="44"/>
        <v>0</v>
      </c>
      <c r="Q255" s="3">
        <f t="shared" si="45"/>
        <v>0</v>
      </c>
      <c r="R255" s="4">
        <f t="shared" si="46"/>
        <v>1</v>
      </c>
      <c r="S255" s="4">
        <f t="shared" si="38"/>
        <v>0</v>
      </c>
      <c r="T255" s="4">
        <f t="shared" si="39"/>
        <v>0</v>
      </c>
      <c r="U255" s="4">
        <f t="shared" si="40"/>
        <v>0</v>
      </c>
      <c r="V255" s="4">
        <f t="shared" si="41"/>
        <v>1</v>
      </c>
      <c r="W255" s="4">
        <f t="shared" si="42"/>
        <v>0</v>
      </c>
      <c r="X255" s="4">
        <f t="shared" si="43"/>
        <v>0</v>
      </c>
      <c r="Y255" s="4">
        <f t="shared" si="37"/>
        <v>0</v>
      </c>
    </row>
    <row r="256" spans="1:25" ht="101.5" x14ac:dyDescent="0.35">
      <c r="A256" t="s">
        <v>635</v>
      </c>
      <c r="B256" s="3" t="s">
        <v>636</v>
      </c>
      <c r="C256" t="s">
        <v>637</v>
      </c>
      <c r="D256" t="s">
        <v>657</v>
      </c>
      <c r="E256" t="b">
        <v>1</v>
      </c>
      <c r="F256" t="b">
        <v>0</v>
      </c>
      <c r="J256" s="3" t="s">
        <v>658</v>
      </c>
      <c r="M256" s="3">
        <f t="shared" si="36"/>
        <v>48</v>
      </c>
      <c r="N256" s="3" t="s">
        <v>718</v>
      </c>
      <c r="O256" s="3"/>
      <c r="P256" s="3">
        <f t="shared" si="44"/>
        <v>0</v>
      </c>
      <c r="Q256" s="3">
        <f t="shared" si="45"/>
        <v>0</v>
      </c>
      <c r="R256" s="4">
        <f t="shared" si="46"/>
        <v>1</v>
      </c>
      <c r="S256" s="4">
        <f t="shared" si="38"/>
        <v>0</v>
      </c>
      <c r="T256" s="4">
        <f t="shared" si="39"/>
        <v>0</v>
      </c>
      <c r="U256" s="4">
        <f t="shared" si="40"/>
        <v>0</v>
      </c>
      <c r="V256" s="4">
        <f t="shared" si="41"/>
        <v>1</v>
      </c>
      <c r="W256" s="4">
        <f t="shared" si="42"/>
        <v>0</v>
      </c>
      <c r="X256" s="4">
        <f t="shared" si="43"/>
        <v>0</v>
      </c>
      <c r="Y256" s="4">
        <f t="shared" si="37"/>
        <v>0</v>
      </c>
    </row>
    <row r="257" spans="1:25" ht="72.5" x14ac:dyDescent="0.35">
      <c r="A257" t="s">
        <v>659</v>
      </c>
      <c r="B257" s="3" t="s">
        <v>660</v>
      </c>
      <c r="C257" t="s">
        <v>661</v>
      </c>
      <c r="D257" t="s">
        <v>662</v>
      </c>
      <c r="E257" t="b">
        <v>1</v>
      </c>
      <c r="F257" t="b">
        <v>1</v>
      </c>
      <c r="G257" t="s">
        <v>157</v>
      </c>
      <c r="H257">
        <v>1</v>
      </c>
      <c r="I257">
        <v>0.99998757624526136</v>
      </c>
      <c r="J257" s="3" t="s">
        <v>663</v>
      </c>
      <c r="K257" s="3" t="s">
        <v>664</v>
      </c>
      <c r="L257" s="3" t="s">
        <v>664</v>
      </c>
      <c r="M257" s="3">
        <f t="shared" si="36"/>
        <v>49</v>
      </c>
      <c r="N257" s="3" t="s">
        <v>720</v>
      </c>
      <c r="O257" s="3"/>
      <c r="P257" s="3">
        <f t="shared" si="44"/>
        <v>1</v>
      </c>
      <c r="Q257" s="3">
        <f t="shared" si="45"/>
        <v>0</v>
      </c>
      <c r="R257" s="4">
        <f t="shared" si="46"/>
        <v>0</v>
      </c>
      <c r="S257" s="4">
        <f t="shared" si="38"/>
        <v>0</v>
      </c>
      <c r="T257" s="4">
        <f t="shared" si="39"/>
        <v>0</v>
      </c>
      <c r="U257" s="4">
        <f t="shared" si="40"/>
        <v>0</v>
      </c>
      <c r="V257" s="4">
        <f t="shared" si="41"/>
        <v>0</v>
      </c>
      <c r="W257" s="4">
        <f t="shared" si="42"/>
        <v>0</v>
      </c>
      <c r="X257" s="4">
        <f t="shared" si="43"/>
        <v>0</v>
      </c>
      <c r="Y257" s="4">
        <f t="shared" si="37"/>
        <v>0</v>
      </c>
    </row>
    <row r="258" spans="1:25" ht="72.5" x14ac:dyDescent="0.35">
      <c r="A258" t="s">
        <v>659</v>
      </c>
      <c r="B258" s="3" t="s">
        <v>660</v>
      </c>
      <c r="C258" t="s">
        <v>661</v>
      </c>
      <c r="D258" t="s">
        <v>665</v>
      </c>
      <c r="E258" t="b">
        <v>0</v>
      </c>
      <c r="F258" t="b">
        <v>1</v>
      </c>
      <c r="G258" t="s">
        <v>51</v>
      </c>
      <c r="H258">
        <v>1</v>
      </c>
      <c r="I258">
        <v>0.99999325873017764</v>
      </c>
      <c r="J258" s="3" t="s">
        <v>666</v>
      </c>
      <c r="K258" s="3" t="s">
        <v>667</v>
      </c>
      <c r="L258" s="3" t="s">
        <v>667</v>
      </c>
      <c r="M258" s="3">
        <f t="shared" ref="M258:M273" si="47">IF(A258&lt;&gt;A257,M257 + 1, M257)</f>
        <v>49</v>
      </c>
      <c r="N258" s="3" t="s">
        <v>703</v>
      </c>
      <c r="O258" s="3"/>
      <c r="P258" s="3">
        <f t="shared" si="44"/>
        <v>0</v>
      </c>
      <c r="Q258" s="3">
        <f t="shared" si="45"/>
        <v>1</v>
      </c>
      <c r="R258" s="4">
        <f t="shared" si="46"/>
        <v>0</v>
      </c>
      <c r="S258" s="4">
        <f t="shared" si="38"/>
        <v>1</v>
      </c>
      <c r="T258" s="4">
        <f t="shared" si="39"/>
        <v>0</v>
      </c>
      <c r="U258" s="4">
        <f t="shared" si="40"/>
        <v>0</v>
      </c>
      <c r="V258" s="4">
        <f t="shared" si="41"/>
        <v>0</v>
      </c>
      <c r="W258" s="4">
        <f t="shared" si="42"/>
        <v>0</v>
      </c>
      <c r="X258" s="4">
        <f t="shared" si="43"/>
        <v>0</v>
      </c>
      <c r="Y258" s="4">
        <f t="shared" ref="Y258:Y273" si="48">IF($O258="MEA", 1, 0)</f>
        <v>0</v>
      </c>
    </row>
    <row r="259" spans="1:25" ht="72.5" x14ac:dyDescent="0.35">
      <c r="A259" t="s">
        <v>659</v>
      </c>
      <c r="B259" s="3" t="s">
        <v>660</v>
      </c>
      <c r="C259" t="s">
        <v>661</v>
      </c>
      <c r="D259" t="s">
        <v>668</v>
      </c>
      <c r="E259" t="b">
        <v>0</v>
      </c>
      <c r="F259" t="b">
        <v>1</v>
      </c>
      <c r="G259" t="s">
        <v>157</v>
      </c>
      <c r="H259">
        <v>0.9</v>
      </c>
      <c r="I259">
        <v>0.99999262323516236</v>
      </c>
      <c r="J259" s="3" t="s">
        <v>669</v>
      </c>
      <c r="K259" s="3" t="s">
        <v>669</v>
      </c>
      <c r="L259" s="3" t="s">
        <v>669</v>
      </c>
      <c r="M259" s="3">
        <f t="shared" si="47"/>
        <v>49</v>
      </c>
      <c r="N259" s="3" t="s">
        <v>704</v>
      </c>
      <c r="O259" s="3"/>
      <c r="P259" s="3">
        <f t="shared" si="44"/>
        <v>0</v>
      </c>
      <c r="Q259" s="3">
        <f t="shared" si="45"/>
        <v>1</v>
      </c>
      <c r="R259" s="4">
        <f t="shared" si="46"/>
        <v>0</v>
      </c>
      <c r="S259" s="4">
        <f t="shared" ref="S259:S273" si="49">IF($N259="FP0", 1, 0)</f>
        <v>0</v>
      </c>
      <c r="T259" s="4">
        <f t="shared" ref="T259:T273" si="50">IF($N259="FP1", 1, 0)</f>
        <v>0</v>
      </c>
      <c r="U259" s="4">
        <f t="shared" ref="U259:U273" si="51">IF($N259="FP2", 1, 0)</f>
        <v>1</v>
      </c>
      <c r="V259" s="4">
        <f t="shared" ref="V259:V273" si="52">IF($N259="FNM", 1, 0)</f>
        <v>0</v>
      </c>
      <c r="W259" s="4">
        <f t="shared" ref="W259:W273" si="53">IF($N259="FNC", 1, 0)</f>
        <v>0</v>
      </c>
      <c r="X259" s="4">
        <f t="shared" ref="X259:X273" si="54">IF($O259="MEU", 1, 0)</f>
        <v>0</v>
      </c>
      <c r="Y259" s="4">
        <f t="shared" si="48"/>
        <v>0</v>
      </c>
    </row>
    <row r="260" spans="1:25" ht="72.5" x14ac:dyDescent="0.35">
      <c r="A260" t="s">
        <v>659</v>
      </c>
      <c r="B260" s="3" t="s">
        <v>660</v>
      </c>
      <c r="C260" t="s">
        <v>661</v>
      </c>
      <c r="D260" t="s">
        <v>670</v>
      </c>
      <c r="E260" t="b">
        <v>1</v>
      </c>
      <c r="F260" t="b">
        <v>1</v>
      </c>
      <c r="G260" t="s">
        <v>157</v>
      </c>
      <c r="H260">
        <v>0.9</v>
      </c>
      <c r="I260">
        <v>0.99999108816978122</v>
      </c>
      <c r="J260" s="3" t="s">
        <v>671</v>
      </c>
      <c r="K260" s="3" t="s">
        <v>671</v>
      </c>
      <c r="L260" s="3" t="s">
        <v>671</v>
      </c>
      <c r="M260" s="3">
        <f t="shared" si="47"/>
        <v>49</v>
      </c>
      <c r="N260" s="3" t="s">
        <v>720</v>
      </c>
      <c r="O260" s="3"/>
      <c r="P260" s="3">
        <f t="shared" si="44"/>
        <v>1</v>
      </c>
      <c r="Q260" s="3">
        <f t="shared" si="45"/>
        <v>0</v>
      </c>
      <c r="R260" s="4">
        <f t="shared" si="46"/>
        <v>0</v>
      </c>
      <c r="S260" s="4">
        <f t="shared" si="49"/>
        <v>0</v>
      </c>
      <c r="T260" s="4">
        <f t="shared" si="50"/>
        <v>0</v>
      </c>
      <c r="U260" s="4">
        <f t="shared" si="51"/>
        <v>0</v>
      </c>
      <c r="V260" s="4">
        <f t="shared" si="52"/>
        <v>0</v>
      </c>
      <c r="W260" s="4">
        <f t="shared" si="53"/>
        <v>0</v>
      </c>
      <c r="X260" s="4">
        <f t="shared" si="54"/>
        <v>0</v>
      </c>
      <c r="Y260" s="4">
        <f t="shared" si="48"/>
        <v>0</v>
      </c>
    </row>
    <row r="261" spans="1:25" ht="72.5" x14ac:dyDescent="0.35">
      <c r="A261" t="s">
        <v>659</v>
      </c>
      <c r="B261" s="3" t="s">
        <v>660</v>
      </c>
      <c r="C261" t="s">
        <v>661</v>
      </c>
      <c r="D261" t="s">
        <v>582</v>
      </c>
      <c r="E261" t="b">
        <v>1</v>
      </c>
      <c r="F261" t="b">
        <v>1</v>
      </c>
      <c r="G261" t="s">
        <v>51</v>
      </c>
      <c r="H261">
        <v>0.8</v>
      </c>
      <c r="I261">
        <v>0.99999318156899519</v>
      </c>
      <c r="J261" s="3" t="s">
        <v>583</v>
      </c>
      <c r="K261" s="3" t="s">
        <v>584</v>
      </c>
      <c r="L261" s="3" t="s">
        <v>584</v>
      </c>
      <c r="M261" s="3">
        <f t="shared" si="47"/>
        <v>49</v>
      </c>
      <c r="N261" s="3" t="s">
        <v>720</v>
      </c>
      <c r="O261" s="3"/>
      <c r="P261" s="3">
        <f t="shared" si="44"/>
        <v>1</v>
      </c>
      <c r="Q261" s="3">
        <f t="shared" si="45"/>
        <v>0</v>
      </c>
      <c r="R261" s="4">
        <f t="shared" si="46"/>
        <v>0</v>
      </c>
      <c r="S261" s="4">
        <f t="shared" si="49"/>
        <v>0</v>
      </c>
      <c r="T261" s="4">
        <f t="shared" si="50"/>
        <v>0</v>
      </c>
      <c r="U261" s="4">
        <f t="shared" si="51"/>
        <v>0</v>
      </c>
      <c r="V261" s="4">
        <f t="shared" si="52"/>
        <v>0</v>
      </c>
      <c r="W261" s="4">
        <f t="shared" si="53"/>
        <v>0</v>
      </c>
      <c r="X261" s="4">
        <f t="shared" si="54"/>
        <v>0</v>
      </c>
      <c r="Y261" s="4">
        <f t="shared" si="48"/>
        <v>0</v>
      </c>
    </row>
    <row r="262" spans="1:25" ht="72.5" x14ac:dyDescent="0.35">
      <c r="A262" t="s">
        <v>659</v>
      </c>
      <c r="B262" s="3" t="s">
        <v>660</v>
      </c>
      <c r="C262" t="s">
        <v>661</v>
      </c>
      <c r="D262" t="s">
        <v>672</v>
      </c>
      <c r="E262" t="b">
        <v>1</v>
      </c>
      <c r="F262" t="b">
        <v>0</v>
      </c>
      <c r="J262" s="3" t="s">
        <v>673</v>
      </c>
      <c r="M262" s="3">
        <f t="shared" si="47"/>
        <v>49</v>
      </c>
      <c r="N262" s="3" t="s">
        <v>715</v>
      </c>
      <c r="O262" s="3"/>
      <c r="P262" s="3">
        <f t="shared" si="44"/>
        <v>0</v>
      </c>
      <c r="Q262" s="3">
        <f t="shared" si="45"/>
        <v>0</v>
      </c>
      <c r="R262" s="4">
        <f t="shared" si="46"/>
        <v>1</v>
      </c>
      <c r="S262" s="4">
        <f t="shared" si="49"/>
        <v>0</v>
      </c>
      <c r="T262" s="4">
        <f t="shared" si="50"/>
        <v>0</v>
      </c>
      <c r="U262" s="4">
        <f t="shared" si="51"/>
        <v>0</v>
      </c>
      <c r="V262" s="4">
        <f t="shared" si="52"/>
        <v>0</v>
      </c>
      <c r="W262" s="4">
        <f t="shared" si="53"/>
        <v>1</v>
      </c>
      <c r="X262" s="4">
        <f t="shared" si="54"/>
        <v>0</v>
      </c>
      <c r="Y262" s="4">
        <f t="shared" si="48"/>
        <v>0</v>
      </c>
    </row>
    <row r="263" spans="1:25" ht="72.5" x14ac:dyDescent="0.35">
      <c r="A263" t="s">
        <v>659</v>
      </c>
      <c r="B263" s="3" t="s">
        <v>660</v>
      </c>
      <c r="C263" t="s">
        <v>661</v>
      </c>
      <c r="D263" t="s">
        <v>674</v>
      </c>
      <c r="E263" t="b">
        <v>1</v>
      </c>
      <c r="F263" t="b">
        <v>0</v>
      </c>
      <c r="J263" s="3" t="s">
        <v>675</v>
      </c>
      <c r="M263" s="3">
        <f t="shared" si="47"/>
        <v>49</v>
      </c>
      <c r="N263" s="3" t="s">
        <v>715</v>
      </c>
      <c r="O263" s="3"/>
      <c r="P263" s="3">
        <f t="shared" si="44"/>
        <v>0</v>
      </c>
      <c r="Q263" s="3">
        <f t="shared" si="45"/>
        <v>0</v>
      </c>
      <c r="R263" s="4">
        <f t="shared" si="46"/>
        <v>1</v>
      </c>
      <c r="S263" s="4">
        <f t="shared" si="49"/>
        <v>0</v>
      </c>
      <c r="T263" s="4">
        <f t="shared" si="50"/>
        <v>0</v>
      </c>
      <c r="U263" s="4">
        <f t="shared" si="51"/>
        <v>0</v>
      </c>
      <c r="V263" s="4">
        <f t="shared" si="52"/>
        <v>0</v>
      </c>
      <c r="W263" s="4">
        <f t="shared" si="53"/>
        <v>1</v>
      </c>
      <c r="X263" s="4">
        <f t="shared" si="54"/>
        <v>0</v>
      </c>
      <c r="Y263" s="4">
        <f t="shared" si="48"/>
        <v>0</v>
      </c>
    </row>
    <row r="264" spans="1:25" ht="72.5" x14ac:dyDescent="0.35">
      <c r="A264" t="s">
        <v>659</v>
      </c>
      <c r="B264" s="3" t="s">
        <v>660</v>
      </c>
      <c r="C264" t="s">
        <v>661</v>
      </c>
      <c r="D264" t="s">
        <v>676</v>
      </c>
      <c r="E264" t="b">
        <v>1</v>
      </c>
      <c r="F264" t="b">
        <v>0</v>
      </c>
      <c r="J264" s="3" t="s">
        <v>677</v>
      </c>
      <c r="M264" s="3">
        <f t="shared" si="47"/>
        <v>49</v>
      </c>
      <c r="N264" s="3" t="s">
        <v>715</v>
      </c>
      <c r="O264" s="3"/>
      <c r="P264" s="3">
        <f t="shared" si="44"/>
        <v>0</v>
      </c>
      <c r="Q264" s="3">
        <f t="shared" si="45"/>
        <v>0</v>
      </c>
      <c r="R264" s="4">
        <f t="shared" si="46"/>
        <v>1</v>
      </c>
      <c r="S264" s="4">
        <f t="shared" si="49"/>
        <v>0</v>
      </c>
      <c r="T264" s="4">
        <f t="shared" si="50"/>
        <v>0</v>
      </c>
      <c r="U264" s="4">
        <f t="shared" si="51"/>
        <v>0</v>
      </c>
      <c r="V264" s="4">
        <f t="shared" si="52"/>
        <v>0</v>
      </c>
      <c r="W264" s="4">
        <f t="shared" si="53"/>
        <v>1</v>
      </c>
      <c r="X264" s="4">
        <f t="shared" si="54"/>
        <v>0</v>
      </c>
      <c r="Y264" s="4">
        <f t="shared" si="48"/>
        <v>0</v>
      </c>
    </row>
    <row r="265" spans="1:25" ht="72.5" x14ac:dyDescent="0.35">
      <c r="A265" t="s">
        <v>659</v>
      </c>
      <c r="B265" s="3" t="s">
        <v>660</v>
      </c>
      <c r="C265" t="s">
        <v>661</v>
      </c>
      <c r="D265" t="s">
        <v>678</v>
      </c>
      <c r="E265" t="b">
        <v>1</v>
      </c>
      <c r="F265" t="b">
        <v>0</v>
      </c>
      <c r="J265" s="3" t="s">
        <v>679</v>
      </c>
      <c r="M265" s="3">
        <f t="shared" si="47"/>
        <v>49</v>
      </c>
      <c r="N265" s="3" t="s">
        <v>715</v>
      </c>
      <c r="O265" s="3"/>
      <c r="P265" s="3">
        <f t="shared" si="44"/>
        <v>0</v>
      </c>
      <c r="Q265" s="3">
        <f t="shared" si="45"/>
        <v>0</v>
      </c>
      <c r="R265" s="4">
        <f t="shared" si="46"/>
        <v>1</v>
      </c>
      <c r="S265" s="4">
        <f t="shared" si="49"/>
        <v>0</v>
      </c>
      <c r="T265" s="4">
        <f t="shared" si="50"/>
        <v>0</v>
      </c>
      <c r="U265" s="4">
        <f t="shared" si="51"/>
        <v>0</v>
      </c>
      <c r="V265" s="4">
        <f t="shared" si="52"/>
        <v>0</v>
      </c>
      <c r="W265" s="4">
        <f t="shared" si="53"/>
        <v>1</v>
      </c>
      <c r="X265" s="4">
        <f t="shared" si="54"/>
        <v>0</v>
      </c>
      <c r="Y265" s="4">
        <f t="shared" si="48"/>
        <v>0</v>
      </c>
    </row>
    <row r="266" spans="1:25" ht="72.5" x14ac:dyDescent="0.35">
      <c r="A266" t="s">
        <v>659</v>
      </c>
      <c r="B266" s="3" t="s">
        <v>660</v>
      </c>
      <c r="C266" t="s">
        <v>661</v>
      </c>
      <c r="D266" t="s">
        <v>647</v>
      </c>
      <c r="E266" t="b">
        <v>1</v>
      </c>
      <c r="F266" t="b">
        <v>0</v>
      </c>
      <c r="J266" s="3" t="s">
        <v>648</v>
      </c>
      <c r="M266" s="3">
        <f t="shared" si="47"/>
        <v>49</v>
      </c>
      <c r="N266" s="3" t="s">
        <v>718</v>
      </c>
      <c r="O266" s="3"/>
      <c r="P266" s="3">
        <f t="shared" si="44"/>
        <v>0</v>
      </c>
      <c r="Q266" s="3">
        <f t="shared" si="45"/>
        <v>0</v>
      </c>
      <c r="R266" s="4">
        <f t="shared" si="46"/>
        <v>1</v>
      </c>
      <c r="S266" s="4">
        <f t="shared" si="49"/>
        <v>0</v>
      </c>
      <c r="T266" s="4">
        <f t="shared" si="50"/>
        <v>0</v>
      </c>
      <c r="U266" s="4">
        <f t="shared" si="51"/>
        <v>0</v>
      </c>
      <c r="V266" s="4">
        <f t="shared" si="52"/>
        <v>1</v>
      </c>
      <c r="W266" s="4">
        <f t="shared" si="53"/>
        <v>0</v>
      </c>
      <c r="X266" s="4">
        <f t="shared" si="54"/>
        <v>0</v>
      </c>
      <c r="Y266" s="4">
        <f t="shared" si="48"/>
        <v>0</v>
      </c>
    </row>
    <row r="267" spans="1:25" ht="72.5" x14ac:dyDescent="0.35">
      <c r="A267" t="s">
        <v>680</v>
      </c>
      <c r="B267" s="3" t="s">
        <v>681</v>
      </c>
      <c r="C267" t="s">
        <v>682</v>
      </c>
      <c r="D267" t="s">
        <v>683</v>
      </c>
      <c r="E267" t="b">
        <v>0</v>
      </c>
      <c r="F267" t="b">
        <v>1</v>
      </c>
      <c r="G267" t="s">
        <v>124</v>
      </c>
      <c r="H267">
        <v>1</v>
      </c>
      <c r="I267">
        <v>0.999992574867822</v>
      </c>
      <c r="J267" s="3" t="s">
        <v>684</v>
      </c>
      <c r="K267" s="3" t="s">
        <v>684</v>
      </c>
      <c r="L267" s="3" t="s">
        <v>684</v>
      </c>
      <c r="M267" s="3">
        <f t="shared" si="47"/>
        <v>50</v>
      </c>
      <c r="N267" s="3" t="s">
        <v>709</v>
      </c>
      <c r="O267" s="3"/>
      <c r="P267" s="3">
        <f t="shared" si="44"/>
        <v>0</v>
      </c>
      <c r="Q267" s="3">
        <f t="shared" si="45"/>
        <v>1</v>
      </c>
      <c r="R267" s="4">
        <f t="shared" si="46"/>
        <v>0</v>
      </c>
      <c r="S267" s="4">
        <f t="shared" si="49"/>
        <v>0</v>
      </c>
      <c r="T267" s="4">
        <f t="shared" si="50"/>
        <v>1</v>
      </c>
      <c r="U267" s="4">
        <f t="shared" si="51"/>
        <v>0</v>
      </c>
      <c r="V267" s="4">
        <f t="shared" si="52"/>
        <v>0</v>
      </c>
      <c r="W267" s="4">
        <f t="shared" si="53"/>
        <v>0</v>
      </c>
      <c r="X267" s="4">
        <f t="shared" si="54"/>
        <v>0</v>
      </c>
      <c r="Y267" s="4">
        <f t="shared" si="48"/>
        <v>0</v>
      </c>
    </row>
    <row r="268" spans="1:25" ht="72.5" x14ac:dyDescent="0.35">
      <c r="A268" t="s">
        <v>680</v>
      </c>
      <c r="B268" s="3" t="s">
        <v>681</v>
      </c>
      <c r="C268" t="s">
        <v>682</v>
      </c>
      <c r="D268" t="s">
        <v>685</v>
      </c>
      <c r="E268" t="b">
        <v>0</v>
      </c>
      <c r="F268" t="b">
        <v>1</v>
      </c>
      <c r="G268" t="s">
        <v>124</v>
      </c>
      <c r="H268">
        <v>0.9</v>
      </c>
      <c r="I268">
        <v>0.99999109948314324</v>
      </c>
      <c r="J268" s="3" t="s">
        <v>686</v>
      </c>
      <c r="K268" s="3" t="s">
        <v>686</v>
      </c>
      <c r="L268" s="3" t="s">
        <v>686</v>
      </c>
      <c r="M268" s="3">
        <f t="shared" si="47"/>
        <v>50</v>
      </c>
      <c r="N268" s="3" t="s">
        <v>709</v>
      </c>
      <c r="O268" s="3"/>
      <c r="P268" s="3">
        <f t="shared" si="44"/>
        <v>0</v>
      </c>
      <c r="Q268" s="3">
        <f t="shared" si="45"/>
        <v>1</v>
      </c>
      <c r="R268" s="4">
        <f t="shared" si="46"/>
        <v>0</v>
      </c>
      <c r="S268" s="4">
        <f t="shared" si="49"/>
        <v>0</v>
      </c>
      <c r="T268" s="4">
        <f t="shared" si="50"/>
        <v>1</v>
      </c>
      <c r="U268" s="4">
        <f t="shared" si="51"/>
        <v>0</v>
      </c>
      <c r="V268" s="4">
        <f t="shared" si="52"/>
        <v>0</v>
      </c>
      <c r="W268" s="4">
        <f t="shared" si="53"/>
        <v>0</v>
      </c>
      <c r="X268" s="4">
        <f t="shared" si="54"/>
        <v>0</v>
      </c>
      <c r="Y268" s="4">
        <f t="shared" si="48"/>
        <v>0</v>
      </c>
    </row>
    <row r="269" spans="1:25" ht="72.5" x14ac:dyDescent="0.35">
      <c r="A269" t="s">
        <v>680</v>
      </c>
      <c r="B269" s="3" t="s">
        <v>681</v>
      </c>
      <c r="C269" t="s">
        <v>682</v>
      </c>
      <c r="D269" t="s">
        <v>687</v>
      </c>
      <c r="E269" t="b">
        <v>0</v>
      </c>
      <c r="F269" t="b">
        <v>1</v>
      </c>
      <c r="G269" t="s">
        <v>51</v>
      </c>
      <c r="H269">
        <v>0.9</v>
      </c>
      <c r="I269">
        <v>0.95675283039585157</v>
      </c>
      <c r="J269" s="3" t="s">
        <v>688</v>
      </c>
      <c r="K269" s="3" t="s">
        <v>689</v>
      </c>
      <c r="L269" s="3" t="s">
        <v>690</v>
      </c>
      <c r="M269" s="3">
        <f t="shared" si="47"/>
        <v>50</v>
      </c>
      <c r="N269" s="3" t="s">
        <v>703</v>
      </c>
      <c r="O269" s="3" t="s">
        <v>742</v>
      </c>
      <c r="P269" s="3">
        <f t="shared" si="44"/>
        <v>0</v>
      </c>
      <c r="Q269" s="3">
        <f t="shared" si="45"/>
        <v>1</v>
      </c>
      <c r="R269" s="4">
        <f t="shared" si="46"/>
        <v>0</v>
      </c>
      <c r="S269" s="4">
        <f t="shared" si="49"/>
        <v>1</v>
      </c>
      <c r="T269" s="4">
        <f t="shared" si="50"/>
        <v>0</v>
      </c>
      <c r="U269" s="4">
        <f t="shared" si="51"/>
        <v>0</v>
      </c>
      <c r="V269" s="4">
        <f t="shared" si="52"/>
        <v>0</v>
      </c>
      <c r="W269" s="4">
        <f t="shared" si="53"/>
        <v>0</v>
      </c>
      <c r="X269" s="4">
        <f t="shared" si="54"/>
        <v>0</v>
      </c>
      <c r="Y269" s="4">
        <f t="shared" si="48"/>
        <v>1</v>
      </c>
    </row>
    <row r="270" spans="1:25" ht="72.5" x14ac:dyDescent="0.35">
      <c r="A270" t="s">
        <v>680</v>
      </c>
      <c r="B270" s="3" t="s">
        <v>681</v>
      </c>
      <c r="C270" t="s">
        <v>682</v>
      </c>
      <c r="D270" t="s">
        <v>691</v>
      </c>
      <c r="E270" t="b">
        <v>1</v>
      </c>
      <c r="F270" t="b">
        <v>1</v>
      </c>
      <c r="G270" t="s">
        <v>157</v>
      </c>
      <c r="H270">
        <v>0.9</v>
      </c>
      <c r="I270">
        <v>0.81661911465236314</v>
      </c>
      <c r="J270" s="3" t="s">
        <v>692</v>
      </c>
      <c r="K270" s="3" t="s">
        <v>693</v>
      </c>
      <c r="L270" s="3" t="s">
        <v>694</v>
      </c>
      <c r="M270" s="3">
        <f t="shared" si="47"/>
        <v>50</v>
      </c>
      <c r="N270" s="3" t="s">
        <v>720</v>
      </c>
      <c r="O270" s="3"/>
      <c r="P270" s="3">
        <f t="shared" si="44"/>
        <v>1</v>
      </c>
      <c r="Q270" s="3">
        <f t="shared" si="45"/>
        <v>0</v>
      </c>
      <c r="R270" s="4">
        <f t="shared" si="46"/>
        <v>0</v>
      </c>
      <c r="S270" s="4">
        <f t="shared" si="49"/>
        <v>0</v>
      </c>
      <c r="T270" s="4">
        <f t="shared" si="50"/>
        <v>0</v>
      </c>
      <c r="U270" s="4">
        <f t="shared" si="51"/>
        <v>0</v>
      </c>
      <c r="V270" s="4">
        <f t="shared" si="52"/>
        <v>0</v>
      </c>
      <c r="W270" s="4">
        <f t="shared" si="53"/>
        <v>0</v>
      </c>
      <c r="X270" s="4">
        <f t="shared" si="54"/>
        <v>0</v>
      </c>
      <c r="Y270" s="4">
        <f t="shared" si="48"/>
        <v>0</v>
      </c>
    </row>
    <row r="271" spans="1:25" ht="72.5" x14ac:dyDescent="0.35">
      <c r="A271" t="s">
        <v>680</v>
      </c>
      <c r="B271" s="3" t="s">
        <v>681</v>
      </c>
      <c r="C271" t="s">
        <v>682</v>
      </c>
      <c r="D271" t="s">
        <v>695</v>
      </c>
      <c r="E271" t="b">
        <v>1</v>
      </c>
      <c r="F271" t="b">
        <v>0</v>
      </c>
      <c r="J271" s="3" t="s">
        <v>696</v>
      </c>
      <c r="M271" s="3">
        <f t="shared" si="47"/>
        <v>50</v>
      </c>
      <c r="N271" s="3" t="s">
        <v>715</v>
      </c>
      <c r="O271" s="3"/>
      <c r="P271" s="3">
        <f t="shared" si="44"/>
        <v>0</v>
      </c>
      <c r="Q271" s="3">
        <f t="shared" si="45"/>
        <v>0</v>
      </c>
      <c r="R271" s="4">
        <f t="shared" si="46"/>
        <v>1</v>
      </c>
      <c r="S271" s="4">
        <f t="shared" si="49"/>
        <v>0</v>
      </c>
      <c r="T271" s="4">
        <f t="shared" si="50"/>
        <v>0</v>
      </c>
      <c r="U271" s="4">
        <f t="shared" si="51"/>
        <v>0</v>
      </c>
      <c r="V271" s="4">
        <f t="shared" si="52"/>
        <v>0</v>
      </c>
      <c r="W271" s="4">
        <f t="shared" si="53"/>
        <v>1</v>
      </c>
      <c r="X271" s="4">
        <f t="shared" si="54"/>
        <v>0</v>
      </c>
      <c r="Y271" s="4">
        <f t="shared" si="48"/>
        <v>0</v>
      </c>
    </row>
    <row r="272" spans="1:25" ht="72.5" x14ac:dyDescent="0.35">
      <c r="A272" t="s">
        <v>680</v>
      </c>
      <c r="B272" s="3" t="s">
        <v>681</v>
      </c>
      <c r="C272" t="s">
        <v>682</v>
      </c>
      <c r="D272" t="s">
        <v>697</v>
      </c>
      <c r="E272" t="b">
        <v>1</v>
      </c>
      <c r="F272" t="b">
        <v>0</v>
      </c>
      <c r="J272" s="3" t="s">
        <v>698</v>
      </c>
      <c r="M272" s="3">
        <f t="shared" si="47"/>
        <v>50</v>
      </c>
      <c r="N272" s="3" t="s">
        <v>718</v>
      </c>
      <c r="O272" s="3"/>
      <c r="P272" s="3">
        <f t="shared" si="44"/>
        <v>0</v>
      </c>
      <c r="Q272" s="3">
        <f t="shared" si="45"/>
        <v>0</v>
      </c>
      <c r="R272" s="4">
        <f t="shared" si="46"/>
        <v>1</v>
      </c>
      <c r="S272" s="4">
        <f t="shared" si="49"/>
        <v>0</v>
      </c>
      <c r="T272" s="4">
        <f t="shared" si="50"/>
        <v>0</v>
      </c>
      <c r="U272" s="4">
        <f t="shared" si="51"/>
        <v>0</v>
      </c>
      <c r="V272" s="4">
        <f t="shared" si="52"/>
        <v>1</v>
      </c>
      <c r="W272" s="4">
        <f t="shared" si="53"/>
        <v>0</v>
      </c>
      <c r="X272" s="4">
        <f t="shared" si="54"/>
        <v>0</v>
      </c>
      <c r="Y272" s="4">
        <f t="shared" si="48"/>
        <v>0</v>
      </c>
    </row>
    <row r="273" spans="1:25" ht="72.5" x14ac:dyDescent="0.35">
      <c r="A273" t="s">
        <v>680</v>
      </c>
      <c r="B273" s="3" t="s">
        <v>681</v>
      </c>
      <c r="C273" t="s">
        <v>682</v>
      </c>
      <c r="D273" t="s">
        <v>699</v>
      </c>
      <c r="E273" t="b">
        <v>1</v>
      </c>
      <c r="F273" t="b">
        <v>0</v>
      </c>
      <c r="J273" s="3" t="s">
        <v>700</v>
      </c>
      <c r="M273" s="3">
        <f t="shared" si="47"/>
        <v>50</v>
      </c>
      <c r="N273" s="3" t="s">
        <v>715</v>
      </c>
      <c r="O273" s="3"/>
      <c r="P273" s="3">
        <f t="shared" si="44"/>
        <v>0</v>
      </c>
      <c r="Q273" s="3">
        <f t="shared" si="45"/>
        <v>0</v>
      </c>
      <c r="R273" s="4">
        <f t="shared" si="46"/>
        <v>1</v>
      </c>
      <c r="S273" s="4">
        <f t="shared" si="49"/>
        <v>0</v>
      </c>
      <c r="T273" s="4">
        <f t="shared" si="50"/>
        <v>0</v>
      </c>
      <c r="U273" s="4">
        <f t="shared" si="51"/>
        <v>0</v>
      </c>
      <c r="V273" s="4">
        <f t="shared" si="52"/>
        <v>0</v>
      </c>
      <c r="W273" s="4">
        <f t="shared" si="53"/>
        <v>1</v>
      </c>
      <c r="X273" s="4">
        <f t="shared" si="54"/>
        <v>0</v>
      </c>
      <c r="Y273" s="4">
        <f t="shared" si="48"/>
        <v>0</v>
      </c>
    </row>
    <row r="274" spans="1:25" x14ac:dyDescent="0.35">
      <c r="S274" s="7"/>
      <c r="T274" s="7"/>
      <c r="U274" s="7"/>
      <c r="V274" s="7"/>
      <c r="W274" s="7"/>
    </row>
  </sheetData>
  <conditionalFormatting sqref="A2:Y273">
    <cfRule type="expression" dxfId="3" priority="1">
      <formula>AND(OR(OR($S2=1,$T2=1),$U2=1),NOT($Q2=1))</formula>
    </cfRule>
    <cfRule type="expression" dxfId="2" priority="2" stopIfTrue="1">
      <formula>MOD($M2,2)=1</formula>
    </cfRule>
    <cfRule type="expression" dxfId="1" priority="3" stopIfTrue="1">
      <formula>MOD($M2,2)=0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activeCell="G10" sqref="G10"/>
    </sheetView>
  </sheetViews>
  <sheetFormatPr baseColWidth="10" defaultRowHeight="14.5" x14ac:dyDescent="0.35"/>
  <sheetData>
    <row r="1" spans="1:3" x14ac:dyDescent="0.35">
      <c r="A1" s="5" t="s">
        <v>706</v>
      </c>
      <c r="B1" s="5"/>
    </row>
    <row r="2" spans="1:3" x14ac:dyDescent="0.35">
      <c r="A2" s="7" t="s">
        <v>707</v>
      </c>
      <c r="B2" s="5"/>
    </row>
    <row r="3" spans="1:3" x14ac:dyDescent="0.35">
      <c r="A3" s="5" t="s">
        <v>703</v>
      </c>
      <c r="B3" s="5" t="s">
        <v>708</v>
      </c>
    </row>
    <row r="4" spans="1:3" x14ac:dyDescent="0.35">
      <c r="B4" s="5" t="s">
        <v>712</v>
      </c>
      <c r="C4" s="5" t="s">
        <v>713</v>
      </c>
    </row>
    <row r="5" spans="1:3" x14ac:dyDescent="0.35">
      <c r="B5" s="5" t="s">
        <v>742</v>
      </c>
      <c r="C5" s="5" t="s">
        <v>743</v>
      </c>
    </row>
    <row r="6" spans="1:3" x14ac:dyDescent="0.35">
      <c r="A6" s="5" t="s">
        <v>709</v>
      </c>
      <c r="B6" s="5" t="s">
        <v>710</v>
      </c>
    </row>
    <row r="7" spans="1:3" x14ac:dyDescent="0.35">
      <c r="A7" s="5" t="s">
        <v>704</v>
      </c>
      <c r="B7" s="5" t="s">
        <v>711</v>
      </c>
    </row>
    <row r="8" spans="1:3" x14ac:dyDescent="0.35">
      <c r="A8" s="7" t="s">
        <v>714</v>
      </c>
      <c r="B8" s="5"/>
    </row>
    <row r="9" spans="1:3" x14ac:dyDescent="0.35">
      <c r="A9" s="5" t="s">
        <v>715</v>
      </c>
      <c r="B9" s="5" t="s">
        <v>716</v>
      </c>
    </row>
    <row r="10" spans="1:3" x14ac:dyDescent="0.35">
      <c r="A10" s="5" t="s">
        <v>718</v>
      </c>
      <c r="B10" s="5" t="s">
        <v>717</v>
      </c>
    </row>
    <row r="11" spans="1:3" x14ac:dyDescent="0.35">
      <c r="A11" s="5" t="s">
        <v>705</v>
      </c>
      <c r="B11" s="5" t="s">
        <v>734</v>
      </c>
    </row>
    <row r="12" spans="1:3" x14ac:dyDescent="0.35">
      <c r="A12" s="5"/>
      <c r="B12" s="5"/>
    </row>
    <row r="13" spans="1:3" x14ac:dyDescent="0.35">
      <c r="A13" s="7" t="s">
        <v>719</v>
      </c>
      <c r="B13" s="5"/>
    </row>
    <row r="14" spans="1:3" x14ac:dyDescent="0.35">
      <c r="A14" s="5" t="s">
        <v>720</v>
      </c>
      <c r="B14" s="5" t="s">
        <v>721</v>
      </c>
    </row>
    <row r="16" spans="1:3" x14ac:dyDescent="0.35">
      <c r="A16" s="5" t="s">
        <v>722</v>
      </c>
      <c r="B16" s="5"/>
    </row>
    <row r="17" spans="1:2" x14ac:dyDescent="0.35">
      <c r="A17" s="5" t="s">
        <v>0</v>
      </c>
      <c r="B17" s="5" t="s">
        <v>723</v>
      </c>
    </row>
    <row r="18" spans="1:2" x14ac:dyDescent="0.35">
      <c r="A18" s="5" t="s">
        <v>3</v>
      </c>
      <c r="B18" s="5" t="s">
        <v>724</v>
      </c>
    </row>
    <row r="19" spans="1:2" x14ac:dyDescent="0.35">
      <c r="A19" s="5" t="s">
        <v>4</v>
      </c>
      <c r="B19" s="5" t="s">
        <v>725</v>
      </c>
    </row>
    <row r="20" spans="1:2" x14ac:dyDescent="0.35">
      <c r="A20" s="5" t="s">
        <v>5</v>
      </c>
      <c r="B20" s="5" t="s">
        <v>726</v>
      </c>
    </row>
    <row r="21" spans="1:2" x14ac:dyDescent="0.35">
      <c r="A21" s="5" t="s">
        <v>7</v>
      </c>
      <c r="B21" s="5" t="s">
        <v>727</v>
      </c>
    </row>
    <row r="22" spans="1:2" x14ac:dyDescent="0.35">
      <c r="A22" s="5" t="s">
        <v>8</v>
      </c>
      <c r="B22" s="5" t="s">
        <v>728</v>
      </c>
    </row>
    <row r="23" spans="1:2" x14ac:dyDescent="0.35">
      <c r="A23" s="5" t="s">
        <v>9</v>
      </c>
      <c r="B23" s="5" t="s">
        <v>729</v>
      </c>
    </row>
    <row r="24" spans="1:2" x14ac:dyDescent="0.35">
      <c r="A24" s="5" t="s">
        <v>10</v>
      </c>
      <c r="B24" s="5" t="s">
        <v>730</v>
      </c>
    </row>
    <row r="25" spans="1:2" x14ac:dyDescent="0.35">
      <c r="A25" s="5" t="s">
        <v>731</v>
      </c>
      <c r="B25" s="5" t="s">
        <v>732</v>
      </c>
    </row>
    <row r="26" spans="1:2" x14ac:dyDescent="0.35">
      <c r="A26" s="5" t="s">
        <v>733</v>
      </c>
      <c r="B26" s="5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8"/>
  <sheetViews>
    <sheetView tabSelected="1" workbookViewId="0">
      <selection activeCell="I13" sqref="I13"/>
    </sheetView>
  </sheetViews>
  <sheetFormatPr baseColWidth="10" defaultRowHeight="14.5" x14ac:dyDescent="0.35"/>
  <cols>
    <col min="2" max="2" width="19.81640625" style="5" customWidth="1"/>
    <col min="3" max="3" width="10.90625" style="5"/>
    <col min="7" max="7" width="10.90625" style="5"/>
  </cols>
  <sheetData>
    <row r="2" spans="1:14" x14ac:dyDescent="0.35">
      <c r="B2" s="8" t="s">
        <v>735</v>
      </c>
      <c r="C2" s="10" t="s">
        <v>707</v>
      </c>
      <c r="D2" s="10"/>
      <c r="E2" s="10"/>
      <c r="F2" s="10"/>
      <c r="G2" s="11" t="s">
        <v>714</v>
      </c>
      <c r="H2" s="11"/>
      <c r="I2" s="11"/>
    </row>
    <row r="3" spans="1:14" x14ac:dyDescent="0.35">
      <c r="A3" t="s">
        <v>737</v>
      </c>
      <c r="B3" s="8" t="s">
        <v>720</v>
      </c>
      <c r="C3" s="10" t="s">
        <v>739</v>
      </c>
      <c r="D3" s="10" t="s">
        <v>703</v>
      </c>
      <c r="E3" s="10" t="s">
        <v>709</v>
      </c>
      <c r="F3" s="10" t="s">
        <v>704</v>
      </c>
      <c r="G3" s="11" t="s">
        <v>740</v>
      </c>
      <c r="H3" s="11" t="s">
        <v>718</v>
      </c>
      <c r="I3" s="11" t="s">
        <v>715</v>
      </c>
    </row>
    <row r="4" spans="1:14" x14ac:dyDescent="0.35">
      <c r="A4" t="s">
        <v>738</v>
      </c>
      <c r="B4" s="8">
        <f>SUM(Ratings!P2:'Ratings'!P273)</f>
        <v>66</v>
      </c>
      <c r="C4" s="10">
        <f>SUM(Ratings!Q2:'Ratings'!Q273)</f>
        <v>110</v>
      </c>
      <c r="D4" s="10">
        <f>SUM(Ratings!S2:'Ratings'!S273)</f>
        <v>43</v>
      </c>
      <c r="E4" s="10">
        <f>SUM(Ratings!T2:'Ratings'!T273)</f>
        <v>27</v>
      </c>
      <c r="F4" s="10">
        <f>SUM(Ratings!U2:'Ratings'!U273)</f>
        <v>40</v>
      </c>
      <c r="G4" s="11">
        <f>SUM(Ratings!R2:'Ratings'!R273)</f>
        <v>96</v>
      </c>
      <c r="H4" s="11">
        <f>SUM(Ratings!V2:'Ratings'!V273)</f>
        <v>68</v>
      </c>
      <c r="I4" s="11">
        <f>SUM(Ratings!W2:'Ratings'!W273)</f>
        <v>28</v>
      </c>
      <c r="L4" s="5"/>
      <c r="M4" s="5"/>
      <c r="N4" s="5"/>
    </row>
    <row r="5" spans="1:14" s="5" customFormat="1" x14ac:dyDescent="0.35">
      <c r="B5" s="8"/>
      <c r="C5" s="10">
        <f>FP/(FP + TP)</f>
        <v>0.625</v>
      </c>
      <c r="D5" s="10">
        <f>FP0/FP</f>
        <v>0.39090909090909093</v>
      </c>
      <c r="E5" s="10"/>
      <c r="F5" s="10"/>
      <c r="G5" s="11"/>
      <c r="H5" s="11"/>
      <c r="I5" s="11"/>
    </row>
    <row r="6" spans="1:14" s="5" customFormat="1" x14ac:dyDescent="0.35">
      <c r="C6" s="12" t="s">
        <v>741</v>
      </c>
      <c r="D6" s="9"/>
    </row>
    <row r="7" spans="1:14" x14ac:dyDescent="0.35">
      <c r="C7" s="9" t="s">
        <v>742</v>
      </c>
      <c r="D7" s="9">
        <f>SUM(Ratings!Y2:'Ratings'!Y273)</f>
        <v>5</v>
      </c>
    </row>
    <row r="8" spans="1:14" x14ac:dyDescent="0.35">
      <c r="C8" s="9" t="s">
        <v>712</v>
      </c>
      <c r="D8" s="9">
        <f>SUM(Ratings!X2:'Ratings'!X273)</f>
        <v>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Ratings</vt:lpstr>
      <vt:lpstr>Legend</vt:lpstr>
      <vt:lpstr>Results</vt:lpstr>
      <vt:lpstr>FP</vt:lpstr>
      <vt:lpstr>FP0</vt:lpstr>
      <vt:lpstr>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Kähler, Maximilian</dc:creator>
  <cp:lastModifiedBy>Kähler, Maximilian</cp:lastModifiedBy>
  <dcterms:created xsi:type="dcterms:W3CDTF">2026-02-25T10:20:49Z</dcterms:created>
  <dcterms:modified xsi:type="dcterms:W3CDTF">2026-03-02T12:57:28Z</dcterms:modified>
</cp:coreProperties>
</file>